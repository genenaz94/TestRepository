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jpg" ContentType="image/jpe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007" codeName="{00000000-0000-0000-0000-000000000000}"/>
  <workbookPr codeName="ThisWorkbook" autoCompressPictures="0"/>
  <bookViews>
    <workbookView xWindow="0" yWindow="0" windowWidth="25600" windowHeight="14040" activeTab="3"/>
  </bookViews>
  <sheets>
    <sheet name="MM1- Servidor Único" sheetId="1" r:id="rId1"/>
    <sheet name="MMN-Varios Servidores" sheetId="4" r:id="rId2"/>
    <sheet name="MMNm-Cola Capacidad Finita Uno" sheetId="10" r:id="rId3"/>
    <sheet name="MMNm-Cola Capacidad Finita" sheetId="2" r:id="rId4"/>
    <sheet name="MM..N-Poblacion Finita Uno" sheetId="8" r:id="rId5"/>
    <sheet name="MM..N-Poblacion Finita" sheetId="6" r:id="rId6"/>
    <sheet name="Hoja1" sheetId="5" r:id="rId7"/>
  </sheet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7" i="10" l="1"/>
  <c r="B8" i="10"/>
  <c r="E8" i="10"/>
  <c r="B7" i="8"/>
  <c r="E7" i="8"/>
  <c r="B7" i="6"/>
  <c r="B6" i="6"/>
  <c r="E7" i="6"/>
  <c r="J8" i="4"/>
  <c r="J7" i="4"/>
  <c r="J6" i="4"/>
  <c r="J5" i="4"/>
  <c r="C11" i="4"/>
  <c r="C13" i="4"/>
  <c r="C24" i="4"/>
  <c r="C25" i="4"/>
  <c r="C26" i="4"/>
  <c r="C27" i="4"/>
  <c r="C28" i="4"/>
  <c r="C29" i="4"/>
  <c r="C30" i="4"/>
  <c r="C31" i="4"/>
  <c r="C32" i="4"/>
  <c r="C23" i="4"/>
  <c r="C8" i="2"/>
  <c r="D12" i="2"/>
  <c r="D13" i="2"/>
  <c r="D19" i="2"/>
  <c r="D20" i="2"/>
  <c r="D21" i="2"/>
  <c r="D22" i="2"/>
  <c r="I12" i="2"/>
  <c r="I13" i="2"/>
  <c r="I14" i="2"/>
  <c r="I19" i="2"/>
  <c r="I20" i="2"/>
  <c r="I21" i="2"/>
  <c r="I22" i="2"/>
  <c r="M12" i="2"/>
  <c r="C14" i="4"/>
  <c r="C15" i="4"/>
  <c r="B8" i="4"/>
  <c r="F12" i="4"/>
  <c r="F26" i="4"/>
  <c r="C6" i="2"/>
  <c r="B6" i="4"/>
  <c r="B6" i="1"/>
  <c r="C22" i="1"/>
  <c r="C21" i="1"/>
  <c r="C20" i="1"/>
  <c r="E6" i="1"/>
  <c r="F12" i="1"/>
  <c r="F11" i="1"/>
  <c r="F10" i="1"/>
  <c r="F9" i="1"/>
  <c r="C13" i="1"/>
  <c r="C10" i="1"/>
  <c r="C11" i="1"/>
  <c r="C12" i="1"/>
  <c r="C14" i="1"/>
  <c r="C15" i="1"/>
  <c r="C16" i="1"/>
  <c r="C17" i="1"/>
  <c r="C18" i="1"/>
  <c r="C19" i="1"/>
  <c r="C9" i="1"/>
  <c r="E6" i="4"/>
</calcChain>
</file>

<file path=xl/sharedStrings.xml><?xml version="1.0" encoding="utf-8"?>
<sst xmlns="http://schemas.openxmlformats.org/spreadsheetml/2006/main" count="229" uniqueCount="79">
  <si>
    <t>l</t>
  </si>
  <si>
    <t>m</t>
  </si>
  <si>
    <t>r</t>
  </si>
  <si>
    <t>C</t>
  </si>
  <si>
    <t>Modelo MM1- Un Unico Servidor</t>
  </si>
  <si>
    <t>P</t>
  </si>
  <si>
    <t>Ls</t>
  </si>
  <si>
    <t>Lq</t>
  </si>
  <si>
    <t>Ws</t>
  </si>
  <si>
    <t>Wq</t>
  </si>
  <si>
    <t>(Porcentaje de Ocupación).</t>
  </si>
  <si>
    <t>Modelo MMN- Varios Servidores</t>
  </si>
  <si>
    <t>MMNm- Capacidad finita con múltiples servidores.</t>
  </si>
  <si>
    <t>l / m</t>
  </si>
  <si>
    <t>coeficientes</t>
  </si>
  <si>
    <t>Probabilidades</t>
  </si>
  <si>
    <t>COMPROBACIÓN DE Po:</t>
  </si>
  <si>
    <t>SUMATORIA SERVIDORES.</t>
  </si>
  <si>
    <t>l/m</t>
  </si>
  <si>
    <t xml:space="preserve">Total </t>
  </si>
  <si>
    <t>Pn - Servidores Vacios</t>
  </si>
  <si>
    <t>Pn - Servidores Ocupados</t>
  </si>
  <si>
    <t>L</t>
  </si>
  <si>
    <t>W</t>
  </si>
  <si>
    <r>
      <t xml:space="preserve">NOTA: </t>
    </r>
    <r>
      <rPr>
        <sz val="14"/>
        <color rgb="FFFF0000"/>
        <rFont val="Calibri"/>
        <scheme val="minor"/>
      </rPr>
      <t>cuando n es mayor a c+m Pn es cero</t>
    </r>
  </si>
  <si>
    <t>Modelo MMN..m- Población Finita con Multiples Servidores</t>
  </si>
  <si>
    <t xml:space="preserve">Coeficientes 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</si>
  <si>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</si>
  <si>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</si>
  <si>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</si>
  <si>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</si>
  <si>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</si>
  <si>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</si>
  <si>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</si>
  <si>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</si>
  <si>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</si>
  <si>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</si>
  <si>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P11</t>
  </si>
  <si>
    <t>P12</t>
  </si>
  <si>
    <t>P13</t>
  </si>
  <si>
    <t>P14</t>
  </si>
  <si>
    <t>P15</t>
  </si>
  <si>
    <t>P16</t>
  </si>
  <si>
    <t>P17</t>
  </si>
  <si>
    <t>P18</t>
  </si>
  <si>
    <t>P19</t>
  </si>
  <si>
    <t>P20</t>
  </si>
  <si>
    <t>P21</t>
  </si>
  <si>
    <t>P22</t>
  </si>
  <si>
    <t>P23</t>
  </si>
  <si>
    <t>P24</t>
  </si>
  <si>
    <t>P25</t>
  </si>
  <si>
    <t>P26</t>
  </si>
  <si>
    <t>P27</t>
  </si>
  <si>
    <t>P28</t>
  </si>
  <si>
    <t>P29</t>
  </si>
  <si>
    <t>P30</t>
  </si>
  <si>
    <t>P31</t>
  </si>
  <si>
    <t>P32</t>
  </si>
  <si>
    <t>P33</t>
  </si>
  <si>
    <t>P34</t>
  </si>
  <si>
    <t>P35</t>
  </si>
  <si>
    <t>P36</t>
  </si>
  <si>
    <t>P37</t>
  </si>
  <si>
    <t>P38</t>
  </si>
  <si>
    <t>P39</t>
  </si>
  <si>
    <t>P40</t>
  </si>
  <si>
    <t>P41</t>
  </si>
  <si>
    <t>P42</t>
  </si>
  <si>
    <t>P43</t>
  </si>
  <si>
    <t>P44</t>
  </si>
  <si>
    <t>P45</t>
  </si>
  <si>
    <t>P46</t>
  </si>
  <si>
    <t>P47</t>
  </si>
  <si>
    <t>P48</t>
  </si>
  <si>
    <t>P49</t>
  </si>
  <si>
    <t>P50</t>
  </si>
  <si>
    <t>P0</t>
  </si>
  <si>
    <t>Modelo MMN..m- Población Finita con un servidor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</si>
</sst>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Symbol"/>
      <family val="1"/>
      <charset val="2"/>
    </font>
    <font>
      <sz val="11"/>
      <color theme="1"/>
      <name val="Arial"/>
      <family val="2"/>
    </font>
    <font>
      <sz val="11"/>
      <name val="Symbol"/>
      <family val="1"/>
      <charset val="2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4"/>
      <name val="Times"/>
    </font>
    <font>
      <b/>
      <sz val="11"/>
      <name val="Calibri"/>
      <family val="2"/>
      <scheme val="minor"/>
    </font>
    <font>
      <sz val="12"/>
      <name val="Symbol"/>
      <family val="1"/>
      <charset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14"/>
      <color theme="1"/>
      <name val="Calibri"/>
      <scheme val="minor"/>
    </font>
    <font>
      <sz val="14"/>
      <color rgb="FFFF0000"/>
      <name val="Calibri"/>
      <scheme val="minor"/>
    </font>
    <font>
      <b/>
      <sz val="12"/>
      <color theme="1"/>
      <name val="Symbol"/>
      <family val="1"/>
      <charset val="2"/>
    </font>
    <font>
      <b/>
      <sz val="12"/>
      <name val="Symbol"/>
      <family val="1"/>
      <charset val="2"/>
    </font>
    <font>
      <b/>
      <sz val="12"/>
      <color theme="1"/>
      <name val="Arial"/>
      <family val="2"/>
    </font>
    <font>
      <sz val="12"/>
      <color rgb="FF000000"/>
      <name val="Lucida Grande"/>
    </font>
  </fonts>
  <fills count="10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2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7">
    <xf numFmtId="0" fontId="0" fillId="0" borderId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</cellStyleXfs>
  <cellXfs count="107">
    <xf numFmtId="0" fontId="0" fillId="0" borderId="0" xfId="0"/>
    <xf numFmtId="0" fontId="0" fillId="0" borderId="0" xfId="0" applyAlignment="1">
      <alignment horizontal="center"/>
    </xf>
    <xf numFmtId="164" fontId="5" fillId="0" borderId="0" xfId="0" applyNumberFormat="1" applyFont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3" fillId="4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" fillId="5" borderId="1" xfId="0" applyFont="1" applyFill="1" applyBorder="1" applyAlignment="1">
      <alignment horizontal="center"/>
    </xf>
    <xf numFmtId="0" fontId="0" fillId="0" borderId="0" xfId="0" applyFill="1" applyBorder="1" applyAlignment="1"/>
    <xf numFmtId="0" fontId="0" fillId="0" borderId="0" xfId="0" applyFill="1" applyBorder="1" applyAlignment="1">
      <alignment horizontal="center"/>
    </xf>
    <xf numFmtId="0" fontId="0" fillId="0" borderId="11" xfId="0" applyFill="1" applyBorder="1" applyAlignment="1">
      <alignment horizontal="right"/>
    </xf>
    <xf numFmtId="0" fontId="0" fillId="0" borderId="7" xfId="0" applyBorder="1" applyAlignment="1">
      <alignment horizontal="left"/>
    </xf>
    <xf numFmtId="0" fontId="0" fillId="0" borderId="12" xfId="0" applyBorder="1" applyAlignment="1">
      <alignment horizontal="center"/>
    </xf>
    <xf numFmtId="0" fontId="0" fillId="0" borderId="13" xfId="0" applyFill="1" applyBorder="1" applyAlignment="1">
      <alignment horizontal="right"/>
    </xf>
    <xf numFmtId="0" fontId="0" fillId="0" borderId="0" xfId="0" applyBorder="1" applyAlignment="1">
      <alignment horizontal="left"/>
    </xf>
    <xf numFmtId="0" fontId="0" fillId="0" borderId="14" xfId="0" applyBorder="1" applyAlignment="1">
      <alignment horizontal="center"/>
    </xf>
    <xf numFmtId="0" fontId="0" fillId="0" borderId="14" xfId="0" applyBorder="1"/>
    <xf numFmtId="0" fontId="0" fillId="0" borderId="0" xfId="0" applyBorder="1"/>
    <xf numFmtId="0" fontId="0" fillId="0" borderId="15" xfId="0" applyFill="1" applyBorder="1" applyAlignment="1">
      <alignment horizontal="right"/>
    </xf>
    <xf numFmtId="0" fontId="0" fillId="0" borderId="16" xfId="0" applyBorder="1" applyAlignment="1">
      <alignment horizontal="left"/>
    </xf>
    <xf numFmtId="0" fontId="0" fillId="0" borderId="17" xfId="0" applyBorder="1"/>
    <xf numFmtId="0" fontId="0" fillId="0" borderId="15" xfId="0" applyFill="1" applyBorder="1" applyAlignment="1">
      <alignment horizontal="center"/>
    </xf>
    <xf numFmtId="0" fontId="0" fillId="0" borderId="16" xfId="0" applyBorder="1"/>
    <xf numFmtId="0" fontId="0" fillId="0" borderId="8" xfId="0" applyBorder="1"/>
    <xf numFmtId="0" fontId="0" fillId="0" borderId="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7" xfId="0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0" fillId="0" borderId="13" xfId="0" applyFill="1" applyBorder="1" applyAlignment="1"/>
    <xf numFmtId="0" fontId="4" fillId="0" borderId="13" xfId="0" applyFont="1" applyFill="1" applyBorder="1" applyAlignment="1"/>
    <xf numFmtId="0" fontId="0" fillId="0" borderId="7" xfId="0" applyFont="1" applyFill="1" applyBorder="1" applyAlignment="1">
      <alignment horizontal="center"/>
    </xf>
    <xf numFmtId="0" fontId="0" fillId="0" borderId="7" xfId="0" applyFill="1" applyBorder="1" applyAlignment="1"/>
    <xf numFmtId="0" fontId="10" fillId="0" borderId="0" xfId="0" applyFont="1"/>
    <xf numFmtId="0" fontId="11" fillId="0" borderId="0" xfId="0" applyFont="1"/>
    <xf numFmtId="0" fontId="0" fillId="0" borderId="0" xfId="0" applyFill="1"/>
    <xf numFmtId="0" fontId="0" fillId="0" borderId="1" xfId="0" applyBorder="1" applyAlignment="1">
      <alignment horizontal="center"/>
    </xf>
    <xf numFmtId="0" fontId="6" fillId="0" borderId="0" xfId="0" applyFont="1"/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7" borderId="1" xfId="0" applyFont="1" applyFill="1" applyBorder="1" applyAlignment="1">
      <alignment horizontal="center"/>
    </xf>
    <xf numFmtId="0" fontId="12" fillId="0" borderId="0" xfId="0" applyFont="1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4" fillId="8" borderId="1" xfId="0" applyFont="1" applyFill="1" applyBorder="1" applyAlignment="1">
      <alignment horizontal="center"/>
    </xf>
    <xf numFmtId="0" fontId="0" fillId="0" borderId="10" xfId="0" applyBorder="1" applyAlignment="1">
      <alignment horizontal="center"/>
    </xf>
    <xf numFmtId="0" fontId="4" fillId="5" borderId="1" xfId="0" applyFont="1" applyFill="1" applyBorder="1" applyAlignment="1">
      <alignment horizontal="center"/>
    </xf>
    <xf numFmtId="0" fontId="0" fillId="9" borderId="1" xfId="0" applyFill="1" applyBorder="1"/>
    <xf numFmtId="0" fontId="6" fillId="9" borderId="1" xfId="0" applyFont="1" applyFill="1" applyBorder="1" applyAlignment="1">
      <alignment horizontal="center"/>
    </xf>
    <xf numFmtId="0" fontId="17" fillId="3" borderId="1" xfId="0" applyFont="1" applyFill="1" applyBorder="1" applyAlignment="1">
      <alignment horizontal="center"/>
    </xf>
    <xf numFmtId="0" fontId="18" fillId="4" borderId="1" xfId="0" applyFont="1" applyFill="1" applyBorder="1" applyAlignment="1">
      <alignment horizontal="center"/>
    </xf>
    <xf numFmtId="0" fontId="19" fillId="2" borderId="1" xfId="0" applyFont="1" applyFill="1" applyBorder="1" applyAlignment="1">
      <alignment horizontal="center"/>
    </xf>
    <xf numFmtId="0" fontId="18" fillId="6" borderId="1" xfId="0" applyFont="1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4" fillId="5" borderId="5" xfId="0" applyFont="1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5" fillId="0" borderId="0" xfId="0" applyFont="1" applyAlignment="1"/>
    <xf numFmtId="0" fontId="15" fillId="0" borderId="1" xfId="0" applyFont="1" applyBorder="1"/>
    <xf numFmtId="0" fontId="0" fillId="0" borderId="1" xfId="0" applyBorder="1"/>
    <xf numFmtId="11" fontId="0" fillId="0" borderId="1" xfId="0" applyNumberFormat="1" applyBorder="1"/>
    <xf numFmtId="0" fontId="0" fillId="3" borderId="5" xfId="0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4" fillId="4" borderId="6" xfId="0" applyFont="1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6" fillId="0" borderId="5" xfId="0" applyFont="1" applyBorder="1" applyAlignment="1">
      <alignment horizontal="center"/>
    </xf>
    <xf numFmtId="0" fontId="6" fillId="0" borderId="6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5" fillId="0" borderId="5" xfId="0" applyFont="1" applyBorder="1" applyAlignment="1">
      <alignment horizontal="center"/>
    </xf>
    <xf numFmtId="0" fontId="5" fillId="0" borderId="18" xfId="0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15" fillId="0" borderId="0" xfId="0" applyFont="1" applyAlignment="1">
      <alignment horizontal="left"/>
    </xf>
    <xf numFmtId="0" fontId="6" fillId="0" borderId="13" xfId="0" applyFont="1" applyBorder="1" applyAlignment="1">
      <alignment horizontal="right"/>
    </xf>
    <xf numFmtId="0" fontId="6" fillId="0" borderId="0" xfId="0" applyFont="1" applyAlignment="1">
      <alignment horizontal="right"/>
    </xf>
    <xf numFmtId="0" fontId="6" fillId="0" borderId="0" xfId="0" applyFont="1" applyBorder="1" applyAlignment="1">
      <alignment horizontal="right"/>
    </xf>
    <xf numFmtId="0" fontId="7" fillId="0" borderId="5" xfId="0" applyFont="1" applyBorder="1" applyAlignment="1">
      <alignment horizontal="center"/>
    </xf>
    <xf numFmtId="0" fontId="7" fillId="0" borderId="18" xfId="0" applyFont="1" applyBorder="1" applyAlignment="1">
      <alignment horizontal="center"/>
    </xf>
    <xf numFmtId="0" fontId="7" fillId="0" borderId="6" xfId="0" applyFont="1" applyBorder="1" applyAlignment="1">
      <alignment horizontal="center"/>
    </xf>
    <xf numFmtId="0" fontId="8" fillId="0" borderId="8" xfId="0" applyFont="1" applyBorder="1" applyAlignment="1">
      <alignment horizontal="center" vertical="center" textRotation="90"/>
    </xf>
    <xf numFmtId="0" fontId="8" fillId="0" borderId="9" xfId="0" applyFont="1" applyBorder="1" applyAlignment="1">
      <alignment horizontal="center" vertical="center" textRotation="90"/>
    </xf>
    <xf numFmtId="0" fontId="8" fillId="0" borderId="10" xfId="0" applyFont="1" applyBorder="1" applyAlignment="1">
      <alignment horizontal="center" vertical="center" textRotation="90"/>
    </xf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7" borderId="5" xfId="0" applyFill="1" applyBorder="1" applyAlignment="1">
      <alignment horizontal="center"/>
    </xf>
    <xf numFmtId="0" fontId="0" fillId="7" borderId="6" xfId="0" applyFill="1" applyBorder="1" applyAlignment="1">
      <alignment horizontal="center"/>
    </xf>
    <xf numFmtId="0" fontId="15" fillId="0" borderId="0" xfId="0" applyFont="1" applyAlignment="1">
      <alignment horizontal="center"/>
    </xf>
  </cellXfs>
  <cellStyles count="7">
    <cellStyle name="Hipervínculo" xfId="1" builtinId="8" hidden="1"/>
    <cellStyle name="Hipervínculo" xfId="3" builtinId="8" hidden="1"/>
    <cellStyle name="Hipervínculo" xfId="5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Normal" xfId="0" builtinId="0"/>
  </cellStyles>
  <dxfs count="0"/>
  <tableStyles count="0" defaultTableStyle="TableStyleMedium2" defaultPivotStyle="PivotStyleLight16"/>
  <colors>
    <mruColors>
      <color rgb="FFFFFF99"/>
      <color rgb="FF9966FF"/>
      <color rgb="FFB838A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calcChain" Target="calcChain.xml"/><Relationship Id="rId12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theme" Target="theme/theme1.xml"/><Relationship Id="rId9" Type="http://schemas.openxmlformats.org/officeDocument/2006/relationships/styles" Target="styles.xml"/><Relationship Id="rId10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317500</xdr:colOff>
      <xdr:row>14</xdr:row>
      <xdr:rowOff>38100</xdr:rowOff>
    </xdr:from>
    <xdr:to>
      <xdr:col>19</xdr:col>
      <xdr:colOff>381000</xdr:colOff>
      <xdr:row>52</xdr:row>
      <xdr:rowOff>139700</xdr:rowOff>
    </xdr:to>
    <xdr:pic>
      <xdr:nvPicPr>
        <xdr:cNvPr id="4" name="Imagen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299200" y="2476500"/>
          <a:ext cx="9144000" cy="6858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304800</xdr:colOff>
          <xdr:row>5</xdr:row>
          <xdr:rowOff>76200</xdr:rowOff>
        </xdr:from>
        <xdr:to>
          <xdr:col>9</xdr:col>
          <xdr:colOff>558800</xdr:colOff>
          <xdr:row>7</xdr:row>
          <xdr:rowOff>165100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Botón 3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647700</xdr:colOff>
      <xdr:row>14</xdr:row>
      <xdr:rowOff>50800</xdr:rowOff>
    </xdr:from>
    <xdr:to>
      <xdr:col>19</xdr:col>
      <xdr:colOff>711200</xdr:colOff>
      <xdr:row>52</xdr:row>
      <xdr:rowOff>152400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29400" y="2667000"/>
          <a:ext cx="9144000" cy="6858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647700</xdr:colOff>
          <xdr:row>5</xdr:row>
          <xdr:rowOff>38100</xdr:rowOff>
        </xdr:from>
        <xdr:to>
          <xdr:col>9</xdr:col>
          <xdr:colOff>685800</xdr:colOff>
          <xdr:row>7</xdr:row>
          <xdr:rowOff>76200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Generar Resultado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787400</xdr:colOff>
      <xdr:row>10</xdr:row>
      <xdr:rowOff>139700</xdr:rowOff>
    </xdr:from>
    <xdr:to>
      <xdr:col>23</xdr:col>
      <xdr:colOff>25400</xdr:colOff>
      <xdr:row>49</xdr:row>
      <xdr:rowOff>12700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245600" y="1993900"/>
          <a:ext cx="9144000" cy="6858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673100</xdr:colOff>
          <xdr:row>5</xdr:row>
          <xdr:rowOff>139700</xdr:rowOff>
        </xdr:from>
        <xdr:to>
          <xdr:col>9</xdr:col>
          <xdr:colOff>762000</xdr:colOff>
          <xdr:row>7</xdr:row>
          <xdr:rowOff>139700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Generar Resultados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Relationship Id="rId3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enableFormatConditionsCalculation="0">
    <tabColor rgb="FFFF0000"/>
  </sheetPr>
  <dimension ref="A1:H22"/>
  <sheetViews>
    <sheetView workbookViewId="0">
      <selection activeCell="H16" sqref="H16"/>
    </sheetView>
  </sheetViews>
  <sheetFormatPr baseColWidth="10" defaultRowHeight="14" x14ac:dyDescent="0"/>
  <cols>
    <col min="1" max="1" width="6.5" customWidth="1"/>
    <col min="2" max="2" width="5.83203125" customWidth="1"/>
    <col min="5" max="5" width="9" customWidth="1"/>
  </cols>
  <sheetData>
    <row r="1" spans="1:8" ht="15" thickBot="1"/>
    <row r="2" spans="1:8" ht="17" thickTop="1" thickBot="1">
      <c r="A2" s="75" t="s">
        <v>4</v>
      </c>
      <c r="B2" s="76"/>
      <c r="C2" s="76"/>
      <c r="D2" s="76"/>
      <c r="E2" s="76"/>
      <c r="F2" s="76"/>
      <c r="G2" s="76"/>
      <c r="H2" s="77"/>
    </row>
    <row r="3" spans="1:8" ht="15" thickTop="1"/>
    <row r="4" spans="1:8">
      <c r="A4" s="3" t="s">
        <v>0</v>
      </c>
      <c r="B4" s="78">
        <v>4</v>
      </c>
      <c r="C4" s="79"/>
    </row>
    <row r="5" spans="1:8">
      <c r="A5" s="3" t="s">
        <v>1</v>
      </c>
      <c r="B5" s="78">
        <v>6</v>
      </c>
      <c r="C5" s="79"/>
    </row>
    <row r="6" spans="1:8" ht="15">
      <c r="A6" s="4" t="s">
        <v>2</v>
      </c>
      <c r="B6" s="80">
        <f>B4/B5</f>
        <v>0.66666666666666663</v>
      </c>
      <c r="C6" s="81"/>
      <c r="E6" s="2">
        <f>B6*100</f>
        <v>66.666666666666657</v>
      </c>
      <c r="F6" t="s">
        <v>10</v>
      </c>
    </row>
    <row r="7" spans="1:8">
      <c r="A7" s="5" t="s">
        <v>3</v>
      </c>
      <c r="B7" s="82">
        <v>1</v>
      </c>
      <c r="C7" s="83"/>
    </row>
    <row r="9" spans="1:8">
      <c r="A9" s="1" t="s">
        <v>5</v>
      </c>
      <c r="B9" s="1">
        <v>0</v>
      </c>
      <c r="C9" s="1">
        <f t="shared" ref="C9:C22" si="0">POWER($B$6,B9)*(1-$B$6)</f>
        <v>0.33333333333333337</v>
      </c>
      <c r="E9" s="46" t="s">
        <v>6</v>
      </c>
      <c r="F9" s="46">
        <f>$B$4/($B$5-$B$4)</f>
        <v>2</v>
      </c>
    </row>
    <row r="10" spans="1:8">
      <c r="A10" s="1" t="s">
        <v>5</v>
      </c>
      <c r="B10" s="1">
        <v>1</v>
      </c>
      <c r="C10" s="1">
        <f t="shared" si="0"/>
        <v>0.22222222222222224</v>
      </c>
      <c r="E10" s="46" t="s">
        <v>7</v>
      </c>
      <c r="F10" s="46">
        <f>POWER($B$4,2)/($B$5*($B$5-$B$4))</f>
        <v>1.3333333333333333</v>
      </c>
    </row>
    <row r="11" spans="1:8">
      <c r="A11" s="1" t="s">
        <v>5</v>
      </c>
      <c r="B11" s="1">
        <v>2</v>
      </c>
      <c r="C11" s="1">
        <f t="shared" si="0"/>
        <v>0.14814814814814817</v>
      </c>
      <c r="E11" s="46" t="s">
        <v>8</v>
      </c>
      <c r="F11" s="46">
        <f>1/($B$5-$B$4)</f>
        <v>0.5</v>
      </c>
    </row>
    <row r="12" spans="1:8">
      <c r="A12" s="1" t="s">
        <v>5</v>
      </c>
      <c r="B12" s="1">
        <v>3</v>
      </c>
      <c r="C12" s="1">
        <f t="shared" si="0"/>
        <v>9.876543209876544E-2</v>
      </c>
      <c r="E12" s="46" t="s">
        <v>9</v>
      </c>
      <c r="F12" s="46">
        <f>$B$4/($B$5*($B$5-$B$4))</f>
        <v>0.33333333333333331</v>
      </c>
    </row>
    <row r="13" spans="1:8">
      <c r="A13" s="1" t="s">
        <v>5</v>
      </c>
      <c r="B13" s="1">
        <v>4</v>
      </c>
      <c r="C13" s="1">
        <f t="shared" si="0"/>
        <v>6.584362139917696E-2</v>
      </c>
    </row>
    <row r="14" spans="1:8">
      <c r="A14" s="1" t="s">
        <v>5</v>
      </c>
      <c r="B14" s="1">
        <v>5</v>
      </c>
      <c r="C14" s="1">
        <f t="shared" si="0"/>
        <v>4.38957475994513E-2</v>
      </c>
    </row>
    <row r="15" spans="1:8">
      <c r="A15" s="1" t="s">
        <v>5</v>
      </c>
      <c r="B15" s="1">
        <v>6</v>
      </c>
      <c r="C15" s="1">
        <f t="shared" si="0"/>
        <v>2.9263831732967538E-2</v>
      </c>
    </row>
    <row r="16" spans="1:8">
      <c r="A16" s="1" t="s">
        <v>5</v>
      </c>
      <c r="B16" s="1">
        <v>7</v>
      </c>
      <c r="C16" s="1">
        <f t="shared" si="0"/>
        <v>1.9509221155311691E-2</v>
      </c>
    </row>
    <row r="17" spans="1:3">
      <c r="A17" s="1" t="s">
        <v>5</v>
      </c>
      <c r="B17" s="1">
        <v>8</v>
      </c>
      <c r="C17" s="1">
        <f t="shared" si="0"/>
        <v>1.3006147436874459E-2</v>
      </c>
    </row>
    <row r="18" spans="1:3">
      <c r="A18" s="1" t="s">
        <v>5</v>
      </c>
      <c r="B18" s="1">
        <v>9</v>
      </c>
      <c r="C18" s="1">
        <f t="shared" si="0"/>
        <v>8.6707649579163062E-3</v>
      </c>
    </row>
    <row r="19" spans="1:3">
      <c r="A19" s="1" t="s">
        <v>5</v>
      </c>
      <c r="B19" s="1">
        <v>10</v>
      </c>
      <c r="C19" s="1">
        <f t="shared" si="0"/>
        <v>5.7805099719442036E-3</v>
      </c>
    </row>
    <row r="20" spans="1:3">
      <c r="A20" s="1" t="s">
        <v>5</v>
      </c>
      <c r="B20" s="1">
        <v>11</v>
      </c>
      <c r="C20" s="1">
        <f t="shared" si="0"/>
        <v>3.8536733146294693E-3</v>
      </c>
    </row>
    <row r="21" spans="1:3">
      <c r="A21" s="1" t="s">
        <v>5</v>
      </c>
      <c r="B21" s="1">
        <v>12</v>
      </c>
      <c r="C21" s="1">
        <f t="shared" si="0"/>
        <v>2.5691155430863128E-3</v>
      </c>
    </row>
    <row r="22" spans="1:3">
      <c r="A22" s="1" t="s">
        <v>5</v>
      </c>
      <c r="B22" s="1">
        <v>13</v>
      </c>
      <c r="C22" s="1">
        <f t="shared" si="0"/>
        <v>1.7127436953908752E-3</v>
      </c>
    </row>
  </sheetData>
  <mergeCells count="5">
    <mergeCell ref="A2:H2"/>
    <mergeCell ref="B4:C4"/>
    <mergeCell ref="B5:C5"/>
    <mergeCell ref="B6:C6"/>
    <mergeCell ref="B7:C7"/>
  </mergeCells>
  <pageMargins left="0.7" right="0.7" top="0.75" bottom="0.75" header="0.3" footer="0.3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 enableFormatConditionsCalculation="0">
    <tabColor theme="6"/>
  </sheetPr>
  <dimension ref="A2:M32"/>
  <sheetViews>
    <sheetView workbookViewId="0">
      <selection activeCell="G11" sqref="G11"/>
    </sheetView>
  </sheetViews>
  <sheetFormatPr baseColWidth="10" defaultRowHeight="14" x14ac:dyDescent="0"/>
  <cols>
    <col min="1" max="1" width="6.5" customWidth="1"/>
    <col min="2" max="2" width="5.83203125" customWidth="1"/>
    <col min="3" max="3" width="14.6640625" customWidth="1"/>
    <col min="5" max="5" width="9" customWidth="1"/>
    <col min="6" max="6" width="15" customWidth="1"/>
    <col min="9" max="9" width="11.83203125" bestFit="1" customWidth="1"/>
  </cols>
  <sheetData>
    <row r="2" spans="1:13" ht="15">
      <c r="A2" s="87" t="s">
        <v>11</v>
      </c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9"/>
    </row>
    <row r="4" spans="1:13" ht="15">
      <c r="A4" s="52" t="s">
        <v>0</v>
      </c>
      <c r="B4" s="78">
        <v>12</v>
      </c>
      <c r="C4" s="79"/>
    </row>
    <row r="5" spans="1:13" ht="15">
      <c r="A5" s="52" t="s">
        <v>1</v>
      </c>
      <c r="B5" s="78">
        <v>6</v>
      </c>
      <c r="C5" s="79"/>
      <c r="I5" s="51" t="s">
        <v>7</v>
      </c>
      <c r="J5" s="50">
        <f>$C$11*(POWER($B$8,$B$7+1)/(FACT($B$7-1)*POWER($B$7-$B$4/$B$5,2)))</f>
        <v>0.88888888888888884</v>
      </c>
    </row>
    <row r="6" spans="1:13" ht="16">
      <c r="A6" s="53" t="s">
        <v>2</v>
      </c>
      <c r="B6" s="80">
        <f>B4/(B7*B5)</f>
        <v>0.66666666666666663</v>
      </c>
      <c r="C6" s="81"/>
      <c r="E6" s="2">
        <f>B6*100</f>
        <v>66.666666666666657</v>
      </c>
      <c r="F6" t="s">
        <v>10</v>
      </c>
      <c r="I6" s="51" t="s">
        <v>9</v>
      </c>
      <c r="J6" s="50">
        <f>J5/B4</f>
        <v>7.407407407407407E-2</v>
      </c>
    </row>
    <row r="7" spans="1:13" ht="15">
      <c r="A7" s="54" t="s">
        <v>3</v>
      </c>
      <c r="B7" s="82">
        <v>3</v>
      </c>
      <c r="C7" s="83"/>
      <c r="I7" s="51" t="s">
        <v>22</v>
      </c>
      <c r="J7" s="50">
        <f>J5+B8</f>
        <v>2.8888888888888888</v>
      </c>
    </row>
    <row r="8" spans="1:13" ht="15">
      <c r="A8" s="55" t="s">
        <v>18</v>
      </c>
      <c r="B8" s="90">
        <f>B4/B5</f>
        <v>2</v>
      </c>
      <c r="C8" s="90"/>
      <c r="I8" s="51" t="s">
        <v>23</v>
      </c>
      <c r="J8" s="50">
        <f>J6+1/B5</f>
        <v>0.24074074074074073</v>
      </c>
    </row>
    <row r="9" spans="1:13" ht="15">
      <c r="A9" s="45"/>
      <c r="B9" s="9"/>
      <c r="C9" s="9"/>
    </row>
    <row r="10" spans="1:13">
      <c r="A10" s="38"/>
      <c r="B10" s="38"/>
      <c r="C10" s="38"/>
    </row>
    <row r="11" spans="1:13">
      <c r="A11" s="41" t="s">
        <v>5</v>
      </c>
      <c r="B11" s="42">
        <v>0</v>
      </c>
      <c r="C11" s="42">
        <f>1/(1+$B$8+F26+POWER($B$8,$B$7)/(FACT($B$7)*(1-($B$4/($B$5*$B$7)))))</f>
        <v>0.1111111111111111</v>
      </c>
      <c r="E11" s="84" t="s">
        <v>17</v>
      </c>
      <c r="F11" s="85"/>
    </row>
    <row r="12" spans="1:13" ht="15">
      <c r="A12" s="86" t="s">
        <v>20</v>
      </c>
      <c r="B12" s="86"/>
      <c r="C12" s="86"/>
      <c r="E12" s="39">
        <v>2</v>
      </c>
      <c r="F12" s="39">
        <f>(POWER($B$8,$E$12)/FACT($E$12))</f>
        <v>2</v>
      </c>
    </row>
    <row r="13" spans="1:13">
      <c r="A13" s="25" t="s">
        <v>5</v>
      </c>
      <c r="B13" s="12">
        <v>1</v>
      </c>
      <c r="C13" s="15">
        <f>$C$11*(POWER($B$8,B13)/FACT(B13))</f>
        <v>0.22222222222222221</v>
      </c>
      <c r="E13" s="39">
        <v>3</v>
      </c>
      <c r="F13" s="39"/>
    </row>
    <row r="14" spans="1:13">
      <c r="A14" s="26" t="s">
        <v>5</v>
      </c>
      <c r="B14" s="15">
        <v>2</v>
      </c>
      <c r="C14" s="15">
        <f t="shared" ref="C14:C15" si="0">$C$11*(POWER($B$8,B14)/FACT(B14))</f>
        <v>0.22222222222222221</v>
      </c>
      <c r="E14" s="39">
        <v>4</v>
      </c>
      <c r="F14" s="39"/>
    </row>
    <row r="15" spans="1:13">
      <c r="A15" s="26" t="s">
        <v>5</v>
      </c>
      <c r="B15" s="15">
        <v>3</v>
      </c>
      <c r="C15" s="15">
        <f t="shared" si="0"/>
        <v>0.14814814814814814</v>
      </c>
      <c r="E15" s="39">
        <v>5</v>
      </c>
      <c r="F15" s="39"/>
    </row>
    <row r="16" spans="1:13">
      <c r="A16" s="26"/>
      <c r="B16" s="15"/>
      <c r="C16" s="15"/>
      <c r="E16" s="39">
        <v>6</v>
      </c>
      <c r="F16" s="39"/>
    </row>
    <row r="17" spans="1:6">
      <c r="A17" s="26"/>
      <c r="B17" s="15"/>
      <c r="C17" s="15"/>
      <c r="E17" s="39">
        <v>7</v>
      </c>
      <c r="F17" s="39"/>
    </row>
    <row r="18" spans="1:6">
      <c r="A18" s="26"/>
      <c r="B18" s="15"/>
      <c r="C18" s="15"/>
      <c r="E18" s="39">
        <v>8</v>
      </c>
      <c r="F18" s="39"/>
    </row>
    <row r="19" spans="1:6">
      <c r="A19" s="26"/>
      <c r="B19" s="15"/>
      <c r="C19" s="15"/>
      <c r="E19" s="39">
        <v>9</v>
      </c>
      <c r="F19" s="39"/>
    </row>
    <row r="20" spans="1:6">
      <c r="A20" s="26"/>
      <c r="B20" s="15"/>
      <c r="C20" s="15"/>
      <c r="E20" s="39">
        <v>10</v>
      </c>
      <c r="F20" s="39"/>
    </row>
    <row r="21" spans="1:6">
      <c r="A21" s="26"/>
      <c r="B21" s="15"/>
      <c r="C21" s="15"/>
      <c r="E21" s="39">
        <v>11</v>
      </c>
      <c r="F21" s="39"/>
    </row>
    <row r="22" spans="1:6" ht="15">
      <c r="A22" s="86" t="s">
        <v>21</v>
      </c>
      <c r="B22" s="86"/>
      <c r="C22" s="86"/>
      <c r="E22" s="39">
        <v>12</v>
      </c>
      <c r="F22" s="39"/>
    </row>
    <row r="23" spans="1:6">
      <c r="A23" s="25" t="s">
        <v>5</v>
      </c>
      <c r="B23" s="12">
        <v>4</v>
      </c>
      <c r="C23" s="15">
        <f>$C$11*(POWER($B$8,B23)/(FACT($B$7)*POWER($B$7,B23-$B$7)))</f>
        <v>9.8765432098765427E-2</v>
      </c>
      <c r="E23" s="39">
        <v>13</v>
      </c>
      <c r="F23" s="39"/>
    </row>
    <row r="24" spans="1:6">
      <c r="A24" s="26" t="s">
        <v>5</v>
      </c>
      <c r="B24" s="15">
        <v>5</v>
      </c>
      <c r="C24" s="15">
        <f t="shared" ref="C24:C32" si="1">$C$11*(POWER($B$8,B24)/(FACT($B$7)*POWER($B$7,B24-$B$7)))</f>
        <v>6.5843621399176946E-2</v>
      </c>
      <c r="E24" s="39">
        <v>14</v>
      </c>
      <c r="F24" s="39"/>
    </row>
    <row r="25" spans="1:6">
      <c r="A25" s="26" t="s">
        <v>5</v>
      </c>
      <c r="B25" s="15">
        <v>6</v>
      </c>
      <c r="C25" s="15">
        <f t="shared" si="1"/>
        <v>4.38957475994513E-2</v>
      </c>
    </row>
    <row r="26" spans="1:6">
      <c r="A26" s="26" t="s">
        <v>5</v>
      </c>
      <c r="B26" s="15">
        <v>7</v>
      </c>
      <c r="C26" s="15">
        <f t="shared" si="1"/>
        <v>2.9263831732967538E-2</v>
      </c>
      <c r="E26" s="40" t="s">
        <v>19</v>
      </c>
      <c r="F26" s="6">
        <f>SUM(F12:F24)</f>
        <v>2</v>
      </c>
    </row>
    <row r="27" spans="1:6">
      <c r="A27" s="26" t="s">
        <v>5</v>
      </c>
      <c r="B27" s="15">
        <v>8</v>
      </c>
      <c r="C27" s="15">
        <f t="shared" si="1"/>
        <v>1.9509221155311687E-2</v>
      </c>
    </row>
    <row r="28" spans="1:6">
      <c r="A28" s="26" t="s">
        <v>5</v>
      </c>
      <c r="B28" s="15">
        <v>9</v>
      </c>
      <c r="C28" s="15">
        <f t="shared" si="1"/>
        <v>1.3006147436874459E-2</v>
      </c>
    </row>
    <row r="29" spans="1:6">
      <c r="A29" s="26" t="s">
        <v>5</v>
      </c>
      <c r="B29" s="15">
        <v>10</v>
      </c>
      <c r="C29" s="15">
        <f t="shared" si="1"/>
        <v>8.6707649579163062E-3</v>
      </c>
    </row>
    <row r="30" spans="1:6">
      <c r="A30" s="26" t="s">
        <v>5</v>
      </c>
      <c r="B30" s="15">
        <v>11</v>
      </c>
      <c r="C30" s="15">
        <f t="shared" si="1"/>
        <v>5.7805099719442036E-3</v>
      </c>
    </row>
    <row r="31" spans="1:6">
      <c r="A31" s="26" t="s">
        <v>5</v>
      </c>
      <c r="B31" s="15">
        <v>12</v>
      </c>
      <c r="C31" s="15">
        <f t="shared" si="1"/>
        <v>3.8536733146294693E-3</v>
      </c>
    </row>
    <row r="32" spans="1:6">
      <c r="A32" s="27" t="s">
        <v>5</v>
      </c>
      <c r="B32" s="28">
        <v>13</v>
      </c>
      <c r="C32" s="48">
        <f t="shared" si="1"/>
        <v>2.5691155430863128E-3</v>
      </c>
    </row>
  </sheetData>
  <mergeCells count="9">
    <mergeCell ref="E11:F11"/>
    <mergeCell ref="A12:C12"/>
    <mergeCell ref="A22:C22"/>
    <mergeCell ref="A2:M2"/>
    <mergeCell ref="B8:C8"/>
    <mergeCell ref="B7:C7"/>
    <mergeCell ref="B6:C6"/>
    <mergeCell ref="B5:C5"/>
    <mergeCell ref="B4:C4"/>
  </mergeCells>
  <pageMargins left="0.7" right="0.7" top="0.75" bottom="0.75" header="0.3" footer="0.3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 enableFormatConditionsCalculation="0">
    <tabColor theme="8"/>
  </sheetPr>
  <dimension ref="A1:O699"/>
  <sheetViews>
    <sheetView workbookViewId="0">
      <selection activeCell="H21" sqref="H21"/>
    </sheetView>
  </sheetViews>
  <sheetFormatPr baseColWidth="10" defaultRowHeight="14" x14ac:dyDescent="0"/>
  <cols>
    <col min="1" max="1" width="6.5" customWidth="1"/>
    <col min="2" max="2" width="8.83203125" customWidth="1"/>
    <col min="5" max="5" width="9" customWidth="1"/>
  </cols>
  <sheetData>
    <row r="1" spans="1:15">
      <c r="M1">
        <v>5</v>
      </c>
      <c r="N1">
        <v>5</v>
      </c>
      <c r="O1">
        <v>5</v>
      </c>
    </row>
    <row r="2" spans="1:15" ht="15" thickBot="1"/>
    <row r="3" spans="1:15" ht="17" thickTop="1" thickBot="1">
      <c r="A3" s="75" t="s">
        <v>78</v>
      </c>
      <c r="B3" s="76"/>
      <c r="C3" s="76"/>
      <c r="D3" s="76"/>
      <c r="E3" s="76"/>
      <c r="F3" s="76"/>
      <c r="G3" s="76"/>
      <c r="H3" s="77"/>
    </row>
    <row r="4" spans="1:15" ht="15" thickTop="1"/>
    <row r="5" spans="1:15">
      <c r="A5" s="3" t="s">
        <v>0</v>
      </c>
      <c r="B5" s="71">
        <v>0.2</v>
      </c>
      <c r="C5" s="32"/>
    </row>
    <row r="6" spans="1:15">
      <c r="A6" s="3" t="s">
        <v>1</v>
      </c>
      <c r="B6" s="71">
        <v>0.5</v>
      </c>
      <c r="C6" s="32"/>
    </row>
    <row r="7" spans="1:15">
      <c r="A7" s="3" t="s">
        <v>2</v>
      </c>
      <c r="B7" s="71">
        <f>B5/B6</f>
        <v>0.4</v>
      </c>
      <c r="C7" s="32"/>
    </row>
    <row r="8" spans="1:15" ht="15">
      <c r="A8" s="4" t="s">
        <v>18</v>
      </c>
      <c r="B8" s="72">
        <f>B5/B6</f>
        <v>0.4</v>
      </c>
      <c r="C8" s="33"/>
      <c r="E8" s="2">
        <f>B8*100</f>
        <v>40</v>
      </c>
      <c r="F8" t="s">
        <v>10</v>
      </c>
    </row>
    <row r="9" spans="1:15">
      <c r="A9" s="5" t="s">
        <v>3</v>
      </c>
      <c r="B9" s="73">
        <v>1</v>
      </c>
      <c r="C9" s="32"/>
    </row>
    <row r="10" spans="1:15">
      <c r="A10" s="49" t="s">
        <v>1</v>
      </c>
      <c r="B10" s="61">
        <v>3</v>
      </c>
      <c r="C10" s="33"/>
    </row>
    <row r="11" spans="1:15">
      <c r="A11" s="74"/>
      <c r="B11" s="74"/>
      <c r="C11" s="74"/>
      <c r="E11" s="74"/>
      <c r="F11" s="74"/>
    </row>
    <row r="12" spans="1:15">
      <c r="A12" s="74"/>
      <c r="B12" s="74"/>
      <c r="C12" s="74"/>
      <c r="E12" s="74"/>
      <c r="F12" s="74"/>
    </row>
    <row r="13" spans="1:15" ht="18">
      <c r="A13" s="106" t="s">
        <v>26</v>
      </c>
      <c r="B13" s="106"/>
      <c r="C13" s="67"/>
      <c r="D13" s="106" t="s">
        <v>15</v>
      </c>
      <c r="E13" s="106"/>
      <c r="F13" s="74"/>
      <c r="G13" s="68" t="s">
        <v>7</v>
      </c>
      <c r="H13" s="68" t="s">
        <v>9</v>
      </c>
      <c r="I13" s="68" t="s">
        <v>6</v>
      </c>
      <c r="J13" s="68" t="s">
        <v>8</v>
      </c>
    </row>
    <row r="14" spans="1:15">
      <c r="A14" s="74"/>
      <c r="B14" s="74"/>
      <c r="C14" s="74"/>
      <c r="E14" s="74"/>
      <c r="F14" s="74"/>
      <c r="G14" s="70"/>
      <c r="H14" s="69"/>
      <c r="I14" s="69"/>
      <c r="J14" s="69"/>
    </row>
    <row r="15" spans="1:15">
      <c r="A15" s="74"/>
      <c r="B15" s="74"/>
      <c r="C15" s="74"/>
    </row>
    <row r="16" spans="1:15">
      <c r="A16" s="74"/>
      <c r="B16" s="74"/>
      <c r="C16" s="74"/>
    </row>
    <row r="17" spans="1:3">
      <c r="A17" s="74"/>
      <c r="B17" s="74"/>
      <c r="C17" s="74"/>
    </row>
    <row r="18" spans="1:3">
      <c r="A18" s="74"/>
      <c r="B18" s="74"/>
      <c r="C18" s="74"/>
    </row>
    <row r="19" spans="1:3">
      <c r="A19" s="74"/>
      <c r="B19" s="74"/>
      <c r="C19" s="74"/>
    </row>
    <row r="20" spans="1:3">
      <c r="A20" s="74"/>
      <c r="B20" s="74"/>
      <c r="C20" s="74"/>
    </row>
    <row r="21" spans="1:3">
      <c r="A21" s="74"/>
      <c r="B21" s="74"/>
      <c r="C21" s="74"/>
    </row>
    <row r="22" spans="1:3">
      <c r="A22" s="74"/>
      <c r="B22" s="74"/>
      <c r="C22" s="74"/>
    </row>
    <row r="23" spans="1:3">
      <c r="A23" s="74"/>
      <c r="B23" s="74"/>
      <c r="C23" s="74"/>
    </row>
    <row r="24" spans="1:3">
      <c r="A24" s="74"/>
      <c r="B24" s="74"/>
      <c r="C24" s="74"/>
    </row>
    <row r="25" spans="1:3">
      <c r="A25" s="74"/>
      <c r="B25" s="74"/>
      <c r="C25" s="74"/>
    </row>
    <row r="26" spans="1:3">
      <c r="A26" s="74"/>
      <c r="B26" s="74"/>
      <c r="C26" s="74"/>
    </row>
    <row r="27" spans="1:3">
      <c r="A27" s="74"/>
      <c r="B27" s="74"/>
      <c r="C27" s="74"/>
    </row>
    <row r="28" spans="1:3">
      <c r="A28" s="74"/>
      <c r="B28" s="74"/>
      <c r="C28" s="74"/>
    </row>
    <row r="29" spans="1:3">
      <c r="A29" s="74"/>
      <c r="B29" s="74"/>
      <c r="C29" s="74"/>
    </row>
    <row r="30" spans="1:3">
      <c r="A30" s="74"/>
      <c r="B30" s="74"/>
      <c r="C30" s="74"/>
    </row>
    <row r="31" spans="1:3">
      <c r="A31" s="74"/>
      <c r="B31" s="74"/>
      <c r="C31" s="74"/>
    </row>
    <row r="32" spans="1:3">
      <c r="A32" s="74"/>
      <c r="B32" s="74"/>
      <c r="C32" s="74"/>
    </row>
    <row r="33" spans="1:3">
      <c r="A33" s="74"/>
      <c r="B33" s="74"/>
      <c r="C33" s="74"/>
    </row>
    <row r="34" spans="1:3">
      <c r="A34" s="74"/>
      <c r="B34" s="74"/>
      <c r="C34" s="74"/>
    </row>
    <row r="35" spans="1:3">
      <c r="A35" s="74"/>
      <c r="B35" s="74"/>
      <c r="C35" s="74"/>
    </row>
    <row r="36" spans="1:3">
      <c r="A36" s="74"/>
      <c r="B36" s="74"/>
      <c r="C36" s="74"/>
    </row>
    <row r="37" spans="1:3">
      <c r="A37" s="74"/>
      <c r="B37" s="74"/>
      <c r="C37" s="74"/>
    </row>
    <row r="38" spans="1:3">
      <c r="A38" s="74"/>
      <c r="B38" s="74"/>
      <c r="C38" s="74"/>
    </row>
    <row r="39" spans="1:3">
      <c r="A39" s="74"/>
      <c r="B39" s="74"/>
      <c r="C39" s="74"/>
    </row>
    <row r="40" spans="1:3">
      <c r="A40" s="74"/>
      <c r="B40" s="74"/>
      <c r="C40" s="74"/>
    </row>
    <row r="41" spans="1:3">
      <c r="A41" s="74"/>
      <c r="B41" s="74"/>
      <c r="C41" s="74"/>
    </row>
    <row r="42" spans="1:3">
      <c r="A42" s="74"/>
      <c r="B42" s="74"/>
      <c r="C42" s="74"/>
    </row>
    <row r="43" spans="1:3">
      <c r="A43" s="74"/>
      <c r="B43" s="74"/>
      <c r="C43" s="74"/>
    </row>
    <row r="44" spans="1:3">
      <c r="A44" s="74"/>
      <c r="B44" s="74"/>
      <c r="C44" s="74"/>
    </row>
    <row r="45" spans="1:3">
      <c r="A45" s="74"/>
      <c r="B45" s="74"/>
      <c r="C45" s="74"/>
    </row>
    <row r="46" spans="1:3">
      <c r="A46" s="74"/>
      <c r="B46" s="74"/>
      <c r="C46" s="74"/>
    </row>
    <row r="47" spans="1:3">
      <c r="A47" s="74"/>
      <c r="B47" s="74"/>
      <c r="C47" s="74"/>
    </row>
    <row r="48" spans="1:3">
      <c r="A48" s="74"/>
      <c r="B48" s="74"/>
      <c r="C48" s="74"/>
    </row>
    <row r="49" spans="1:3">
      <c r="A49" s="74"/>
      <c r="B49" s="74"/>
      <c r="C49" s="74"/>
    </row>
    <row r="50" spans="1:3">
      <c r="A50" s="74"/>
      <c r="B50" s="74"/>
      <c r="C50" s="74"/>
    </row>
    <row r="51" spans="1:3">
      <c r="A51" s="74"/>
      <c r="B51" s="74"/>
      <c r="C51" s="74"/>
    </row>
    <row r="52" spans="1:3">
      <c r="A52" s="74"/>
      <c r="B52" s="74"/>
      <c r="C52" s="74"/>
    </row>
    <row r="53" spans="1:3">
      <c r="A53" s="74"/>
      <c r="B53" s="74"/>
      <c r="C53" s="74"/>
    </row>
    <row r="54" spans="1:3">
      <c r="A54" s="74"/>
      <c r="B54" s="74"/>
      <c r="C54" s="74"/>
    </row>
    <row r="55" spans="1:3">
      <c r="A55" s="74"/>
      <c r="B55" s="74"/>
      <c r="C55" s="74"/>
    </row>
    <row r="56" spans="1:3">
      <c r="A56" s="74"/>
      <c r="B56" s="74"/>
      <c r="C56" s="74"/>
    </row>
    <row r="57" spans="1:3">
      <c r="A57" s="74"/>
      <c r="B57" s="74"/>
      <c r="C57" s="74"/>
    </row>
    <row r="58" spans="1:3">
      <c r="A58" s="74"/>
      <c r="B58" s="74"/>
      <c r="C58" s="74"/>
    </row>
    <row r="59" spans="1:3">
      <c r="A59" s="74"/>
      <c r="B59" s="74"/>
      <c r="C59" s="74"/>
    </row>
    <row r="60" spans="1:3">
      <c r="A60" s="74"/>
      <c r="B60" s="74"/>
      <c r="C60" s="74"/>
    </row>
    <row r="61" spans="1:3">
      <c r="A61" s="74"/>
      <c r="B61" s="74"/>
      <c r="C61" s="74"/>
    </row>
    <row r="62" spans="1:3">
      <c r="A62" s="74"/>
      <c r="B62" s="74"/>
      <c r="C62" s="74"/>
    </row>
    <row r="63" spans="1:3">
      <c r="A63" s="74"/>
      <c r="B63" s="74"/>
      <c r="C63" s="74"/>
    </row>
    <row r="64" spans="1:3">
      <c r="A64" s="74"/>
      <c r="B64" s="74"/>
      <c r="C64" s="74"/>
    </row>
    <row r="65" spans="1:3">
      <c r="A65" s="74"/>
      <c r="B65" s="74"/>
      <c r="C65" s="74"/>
    </row>
    <row r="66" spans="1:3">
      <c r="A66" s="74"/>
      <c r="B66" s="74"/>
      <c r="C66" s="74"/>
    </row>
    <row r="67" spans="1:3">
      <c r="A67" s="74"/>
      <c r="B67" s="74"/>
      <c r="C67" s="74"/>
    </row>
    <row r="68" spans="1:3">
      <c r="A68" s="74"/>
      <c r="B68" s="74"/>
      <c r="C68" s="74"/>
    </row>
    <row r="69" spans="1:3">
      <c r="A69" s="74"/>
      <c r="B69" s="74"/>
      <c r="C69" s="74"/>
    </row>
    <row r="70" spans="1:3">
      <c r="A70" s="74"/>
      <c r="B70" s="74"/>
      <c r="C70" s="74"/>
    </row>
    <row r="71" spans="1:3">
      <c r="A71" s="74"/>
      <c r="B71" s="74"/>
      <c r="C71" s="74"/>
    </row>
    <row r="72" spans="1:3">
      <c r="A72" s="74"/>
      <c r="B72" s="74"/>
      <c r="C72" s="74"/>
    </row>
    <row r="73" spans="1:3">
      <c r="A73" s="74"/>
      <c r="B73" s="74"/>
      <c r="C73" s="74"/>
    </row>
    <row r="74" spans="1:3">
      <c r="A74" s="74"/>
      <c r="B74" s="74"/>
      <c r="C74" s="74"/>
    </row>
    <row r="75" spans="1:3">
      <c r="A75" s="74"/>
      <c r="B75" s="74"/>
      <c r="C75" s="74"/>
    </row>
    <row r="76" spans="1:3">
      <c r="A76" s="74"/>
      <c r="B76" s="74"/>
      <c r="C76" s="74"/>
    </row>
    <row r="77" spans="1:3">
      <c r="A77" s="74"/>
      <c r="B77" s="74"/>
      <c r="C77" s="74"/>
    </row>
    <row r="78" spans="1:3">
      <c r="A78" s="74"/>
      <c r="B78" s="74"/>
      <c r="C78" s="74"/>
    </row>
    <row r="79" spans="1:3">
      <c r="A79" s="74"/>
      <c r="B79" s="74"/>
      <c r="C79" s="74"/>
    </row>
    <row r="80" spans="1:3">
      <c r="A80" s="74"/>
      <c r="B80" s="74"/>
      <c r="C80" s="74"/>
    </row>
    <row r="81" spans="1:3">
      <c r="A81" s="74"/>
      <c r="B81" s="74"/>
      <c r="C81" s="74"/>
    </row>
    <row r="82" spans="1:3">
      <c r="A82" s="74"/>
      <c r="B82" s="74"/>
      <c r="C82" s="74"/>
    </row>
    <row r="83" spans="1:3">
      <c r="A83" s="74"/>
      <c r="B83" s="74"/>
      <c r="C83" s="74"/>
    </row>
    <row r="84" spans="1:3">
      <c r="A84" s="74"/>
      <c r="B84" s="74"/>
      <c r="C84" s="74"/>
    </row>
    <row r="85" spans="1:3">
      <c r="A85" s="74"/>
      <c r="B85" s="74"/>
      <c r="C85" s="74"/>
    </row>
    <row r="86" spans="1:3">
      <c r="A86" s="74"/>
      <c r="B86" s="74"/>
      <c r="C86" s="74"/>
    </row>
    <row r="87" spans="1:3">
      <c r="A87" s="74"/>
      <c r="B87" s="74"/>
      <c r="C87" s="74"/>
    </row>
    <row r="88" spans="1:3">
      <c r="A88" s="74"/>
      <c r="B88" s="74"/>
      <c r="C88" s="74"/>
    </row>
    <row r="89" spans="1:3">
      <c r="A89" s="74"/>
      <c r="B89" s="74"/>
      <c r="C89" s="74"/>
    </row>
    <row r="90" spans="1:3">
      <c r="A90" s="74"/>
      <c r="B90" s="74"/>
      <c r="C90" s="74"/>
    </row>
    <row r="91" spans="1:3">
      <c r="A91" s="74"/>
      <c r="B91" s="74"/>
      <c r="C91" s="74"/>
    </row>
    <row r="92" spans="1:3">
      <c r="A92" s="74"/>
      <c r="B92" s="74"/>
      <c r="C92" s="74"/>
    </row>
    <row r="93" spans="1:3">
      <c r="A93" s="74"/>
      <c r="B93" s="74"/>
      <c r="C93" s="74"/>
    </row>
    <row r="94" spans="1:3">
      <c r="A94" s="74"/>
      <c r="B94" s="74"/>
      <c r="C94" s="74"/>
    </row>
    <row r="95" spans="1:3">
      <c r="A95" s="74"/>
      <c r="B95" s="74"/>
      <c r="C95" s="74"/>
    </row>
    <row r="96" spans="1:3">
      <c r="A96" s="74"/>
      <c r="B96" s="74"/>
      <c r="C96" s="74"/>
    </row>
    <row r="97" spans="1:3">
      <c r="A97" s="74"/>
      <c r="B97" s="74"/>
      <c r="C97" s="74"/>
    </row>
    <row r="98" spans="1:3">
      <c r="A98" s="74"/>
      <c r="B98" s="74"/>
      <c r="C98" s="74"/>
    </row>
    <row r="99" spans="1:3">
      <c r="A99" s="74"/>
      <c r="B99" s="74"/>
      <c r="C99" s="74"/>
    </row>
    <row r="100" spans="1:3">
      <c r="A100" s="74"/>
      <c r="B100" s="74"/>
      <c r="C100" s="74"/>
    </row>
    <row r="101" spans="1:3">
      <c r="A101" s="74"/>
      <c r="B101" s="74"/>
      <c r="C101" s="74"/>
    </row>
    <row r="102" spans="1:3">
      <c r="A102" s="74"/>
      <c r="B102" s="74"/>
      <c r="C102" s="74"/>
    </row>
    <row r="103" spans="1:3">
      <c r="A103" s="74"/>
      <c r="B103" s="74"/>
      <c r="C103" s="74"/>
    </row>
    <row r="104" spans="1:3">
      <c r="A104" s="74"/>
      <c r="B104" s="74"/>
      <c r="C104" s="74"/>
    </row>
    <row r="105" spans="1:3">
      <c r="A105" s="74"/>
      <c r="B105" s="74"/>
      <c r="C105" s="74"/>
    </row>
    <row r="106" spans="1:3">
      <c r="A106" s="74"/>
      <c r="B106" s="74"/>
      <c r="C106" s="74"/>
    </row>
    <row r="107" spans="1:3">
      <c r="A107" s="74"/>
      <c r="B107" s="74"/>
      <c r="C107" s="74"/>
    </row>
    <row r="108" spans="1:3">
      <c r="A108" s="74"/>
      <c r="B108" s="74"/>
      <c r="C108" s="74"/>
    </row>
    <row r="109" spans="1:3">
      <c r="A109" s="74"/>
      <c r="B109" s="74"/>
      <c r="C109" s="74"/>
    </row>
    <row r="110" spans="1:3">
      <c r="A110" s="74"/>
      <c r="B110" s="74"/>
      <c r="C110" s="74"/>
    </row>
    <row r="111" spans="1:3">
      <c r="A111" s="74"/>
      <c r="B111" s="74"/>
      <c r="C111" s="74"/>
    </row>
    <row r="112" spans="1:3">
      <c r="A112" s="74"/>
      <c r="B112" s="74"/>
      <c r="C112" s="74"/>
    </row>
    <row r="113" spans="1:3">
      <c r="A113" s="74"/>
      <c r="B113" s="74"/>
      <c r="C113" s="74"/>
    </row>
    <row r="114" spans="1:3">
      <c r="A114" s="74"/>
      <c r="B114" s="74"/>
      <c r="C114" s="74"/>
    </row>
    <row r="115" spans="1:3">
      <c r="A115" s="74"/>
      <c r="B115" s="74"/>
      <c r="C115" s="74"/>
    </row>
    <row r="116" spans="1:3">
      <c r="A116" s="74"/>
      <c r="B116" s="74"/>
      <c r="C116" s="74"/>
    </row>
    <row r="117" spans="1:3">
      <c r="A117" s="74"/>
      <c r="B117" s="74"/>
      <c r="C117" s="74"/>
    </row>
    <row r="118" spans="1:3">
      <c r="A118" s="74"/>
      <c r="B118" s="74"/>
      <c r="C118" s="74"/>
    </row>
    <row r="119" spans="1:3">
      <c r="A119" s="74"/>
      <c r="B119" s="74"/>
      <c r="C119" s="74"/>
    </row>
    <row r="120" spans="1:3">
      <c r="A120" s="74"/>
      <c r="B120" s="74"/>
      <c r="C120" s="74"/>
    </row>
    <row r="121" spans="1:3">
      <c r="A121" s="74"/>
      <c r="B121" s="74"/>
      <c r="C121" s="74"/>
    </row>
    <row r="122" spans="1:3">
      <c r="A122" s="74"/>
      <c r="B122" s="74"/>
      <c r="C122" s="74"/>
    </row>
    <row r="123" spans="1:3">
      <c r="A123" s="74"/>
      <c r="B123" s="74"/>
      <c r="C123" s="74"/>
    </row>
    <row r="124" spans="1:3">
      <c r="A124" s="74"/>
      <c r="B124" s="74"/>
      <c r="C124" s="74"/>
    </row>
    <row r="125" spans="1:3">
      <c r="A125" s="74"/>
      <c r="B125" s="74"/>
      <c r="C125" s="74"/>
    </row>
    <row r="126" spans="1:3">
      <c r="A126" s="74"/>
      <c r="B126" s="74"/>
      <c r="C126" s="74"/>
    </row>
    <row r="127" spans="1:3">
      <c r="A127" s="74"/>
      <c r="B127" s="74"/>
      <c r="C127" s="74"/>
    </row>
    <row r="128" spans="1:3">
      <c r="A128" s="74"/>
      <c r="B128" s="74"/>
      <c r="C128" s="74"/>
    </row>
    <row r="129" spans="1:3">
      <c r="A129" s="74"/>
      <c r="B129" s="74"/>
      <c r="C129" s="74"/>
    </row>
    <row r="130" spans="1:3">
      <c r="A130" s="74"/>
      <c r="B130" s="74"/>
      <c r="C130" s="74"/>
    </row>
    <row r="131" spans="1:3">
      <c r="A131" s="74"/>
      <c r="B131" s="74"/>
    </row>
    <row r="132" spans="1:3">
      <c r="A132" s="74"/>
      <c r="B132" s="74"/>
    </row>
    <row r="133" spans="1:3">
      <c r="A133" s="74"/>
      <c r="B133" s="74"/>
    </row>
    <row r="134" spans="1:3">
      <c r="A134" s="74"/>
      <c r="B134" s="74"/>
    </row>
    <row r="135" spans="1:3">
      <c r="A135" s="60"/>
      <c r="B135" s="60"/>
    </row>
    <row r="136" spans="1:3">
      <c r="A136" s="60"/>
      <c r="B136" s="60"/>
    </row>
    <row r="137" spans="1:3">
      <c r="A137" s="60"/>
      <c r="B137" s="60"/>
    </row>
    <row r="138" spans="1:3">
      <c r="A138" s="60"/>
      <c r="B138" s="60"/>
    </row>
    <row r="139" spans="1:3">
      <c r="A139" s="60"/>
      <c r="B139" s="60"/>
    </row>
    <row r="140" spans="1:3">
      <c r="A140" s="60"/>
      <c r="B140" s="60"/>
    </row>
    <row r="141" spans="1:3">
      <c r="A141" s="60"/>
      <c r="B141" s="60"/>
    </row>
    <row r="142" spans="1:3">
      <c r="A142" s="60"/>
      <c r="B142" s="60"/>
    </row>
    <row r="143" spans="1:3">
      <c r="A143" s="60"/>
      <c r="B143" s="60"/>
    </row>
    <row r="144" spans="1:3">
      <c r="A144" s="60"/>
      <c r="B144" s="60"/>
    </row>
    <row r="145" spans="1:2">
      <c r="A145" s="60"/>
      <c r="B145" s="60"/>
    </row>
    <row r="146" spans="1:2">
      <c r="A146" s="60"/>
      <c r="B146" s="60"/>
    </row>
    <row r="147" spans="1:2">
      <c r="A147" s="60"/>
      <c r="B147" s="60"/>
    </row>
    <row r="148" spans="1:2">
      <c r="A148" s="60"/>
      <c r="B148" s="60"/>
    </row>
    <row r="149" spans="1:2">
      <c r="A149" s="60"/>
      <c r="B149" s="60"/>
    </row>
    <row r="150" spans="1:2">
      <c r="A150" s="60"/>
      <c r="B150" s="60"/>
    </row>
    <row r="151" spans="1:2">
      <c r="A151" s="60"/>
      <c r="B151" s="60"/>
    </row>
    <row r="152" spans="1:2">
      <c r="A152" s="60"/>
      <c r="B152" s="60"/>
    </row>
    <row r="153" spans="1:2">
      <c r="A153" s="60"/>
      <c r="B153" s="60"/>
    </row>
    <row r="154" spans="1:2">
      <c r="A154" s="60"/>
      <c r="B154" s="60"/>
    </row>
    <row r="155" spans="1:2">
      <c r="A155" s="60"/>
      <c r="B155" s="60"/>
    </row>
    <row r="156" spans="1:2">
      <c r="A156" s="60"/>
      <c r="B156" s="60"/>
    </row>
    <row r="157" spans="1:2">
      <c r="A157" s="60"/>
      <c r="B157" s="60"/>
    </row>
    <row r="158" spans="1:2">
      <c r="A158" s="60"/>
      <c r="B158" s="60"/>
    </row>
    <row r="159" spans="1:2">
      <c r="A159" s="60"/>
      <c r="B159" s="60"/>
    </row>
    <row r="160" spans="1:2">
      <c r="A160" s="60"/>
      <c r="B160" s="60"/>
    </row>
    <row r="161" spans="1:2">
      <c r="A161" s="60"/>
      <c r="B161" s="60"/>
    </row>
    <row r="162" spans="1:2">
      <c r="A162" s="60"/>
      <c r="B162" s="60"/>
    </row>
    <row r="163" spans="1:2">
      <c r="A163" s="60"/>
      <c r="B163" s="60"/>
    </row>
    <row r="164" spans="1:2">
      <c r="A164" s="60"/>
      <c r="B164" s="60"/>
    </row>
    <row r="165" spans="1:2">
      <c r="A165" s="60"/>
      <c r="B165" s="60"/>
    </row>
    <row r="166" spans="1:2">
      <c r="A166" s="60"/>
      <c r="B166" s="60"/>
    </row>
    <row r="167" spans="1:2">
      <c r="A167" s="60"/>
      <c r="B167" s="60"/>
    </row>
    <row r="168" spans="1:2">
      <c r="A168" s="60"/>
      <c r="B168" s="60"/>
    </row>
    <row r="169" spans="1:2">
      <c r="A169" s="60"/>
      <c r="B169" s="60"/>
    </row>
    <row r="170" spans="1:2">
      <c r="A170" s="60"/>
      <c r="B170" s="60"/>
    </row>
    <row r="171" spans="1:2">
      <c r="A171" s="60"/>
      <c r="B171" s="60"/>
    </row>
    <row r="172" spans="1:2">
      <c r="A172" s="60"/>
      <c r="B172" s="60"/>
    </row>
    <row r="173" spans="1:2">
      <c r="A173" s="60"/>
      <c r="B173" s="60"/>
    </row>
    <row r="174" spans="1:2">
      <c r="A174" s="60"/>
      <c r="B174" s="60"/>
    </row>
    <row r="175" spans="1:2">
      <c r="A175" s="60"/>
      <c r="B175" s="60"/>
    </row>
    <row r="176" spans="1:2">
      <c r="A176" s="60"/>
      <c r="B176" s="60"/>
    </row>
    <row r="177" spans="1:2">
      <c r="A177" s="60"/>
      <c r="B177" s="60"/>
    </row>
    <row r="178" spans="1:2">
      <c r="A178" s="60"/>
      <c r="B178" s="60"/>
    </row>
    <row r="179" spans="1:2">
      <c r="A179" s="60"/>
      <c r="B179" s="60"/>
    </row>
    <row r="180" spans="1:2">
      <c r="A180" s="60"/>
      <c r="B180" s="60"/>
    </row>
    <row r="181" spans="1:2">
      <c r="A181" s="60"/>
      <c r="B181" s="60"/>
    </row>
    <row r="182" spans="1:2">
      <c r="A182" s="60"/>
      <c r="B182" s="60"/>
    </row>
    <row r="183" spans="1:2">
      <c r="A183" s="60"/>
      <c r="B183" s="60"/>
    </row>
    <row r="184" spans="1:2">
      <c r="A184" s="60"/>
      <c r="B184" s="60"/>
    </row>
    <row r="185" spans="1:2">
      <c r="A185" s="60"/>
      <c r="B185" s="60"/>
    </row>
    <row r="186" spans="1:2">
      <c r="A186" s="60"/>
      <c r="B186" s="60"/>
    </row>
    <row r="187" spans="1:2">
      <c r="A187" s="60"/>
      <c r="B187" s="60"/>
    </row>
    <row r="188" spans="1:2">
      <c r="A188" s="60"/>
      <c r="B188" s="60"/>
    </row>
    <row r="189" spans="1:2">
      <c r="A189" s="60"/>
      <c r="B189" s="60"/>
    </row>
    <row r="190" spans="1:2">
      <c r="A190" s="60"/>
      <c r="B190" s="60"/>
    </row>
    <row r="191" spans="1:2">
      <c r="A191" s="60"/>
      <c r="B191" s="60"/>
    </row>
    <row r="192" spans="1:2">
      <c r="A192" s="60"/>
      <c r="B192" s="60"/>
    </row>
    <row r="193" spans="1:2">
      <c r="A193" s="60"/>
      <c r="B193" s="60"/>
    </row>
    <row r="194" spans="1:2">
      <c r="A194" s="60"/>
      <c r="B194" s="60"/>
    </row>
    <row r="195" spans="1:2">
      <c r="A195" s="60"/>
      <c r="B195" s="60"/>
    </row>
    <row r="196" spans="1:2">
      <c r="A196" s="60"/>
      <c r="B196" s="60"/>
    </row>
    <row r="197" spans="1:2">
      <c r="A197" s="60"/>
      <c r="B197" s="60"/>
    </row>
    <row r="198" spans="1:2">
      <c r="A198" s="60"/>
      <c r="B198" s="60"/>
    </row>
    <row r="199" spans="1:2">
      <c r="A199" s="60"/>
      <c r="B199" s="60"/>
    </row>
    <row r="200" spans="1:2">
      <c r="A200" s="60"/>
      <c r="B200" s="60"/>
    </row>
    <row r="201" spans="1:2">
      <c r="A201" s="60"/>
      <c r="B201" s="60"/>
    </row>
    <row r="202" spans="1:2">
      <c r="A202" s="60"/>
      <c r="B202" s="60"/>
    </row>
    <row r="203" spans="1:2">
      <c r="A203" s="60"/>
      <c r="B203" s="60"/>
    </row>
    <row r="204" spans="1:2">
      <c r="A204" s="60"/>
      <c r="B204" s="60"/>
    </row>
    <row r="205" spans="1:2">
      <c r="A205" s="60"/>
      <c r="B205" s="60"/>
    </row>
    <row r="206" spans="1:2">
      <c r="A206" s="60"/>
      <c r="B206" s="60"/>
    </row>
    <row r="207" spans="1:2">
      <c r="A207" s="60"/>
      <c r="B207" s="60"/>
    </row>
    <row r="208" spans="1:2">
      <c r="A208" s="60"/>
      <c r="B208" s="60"/>
    </row>
    <row r="209" spans="1:2">
      <c r="A209" s="60"/>
      <c r="B209" s="60"/>
    </row>
    <row r="210" spans="1:2">
      <c r="A210" s="60"/>
      <c r="B210" s="60"/>
    </row>
    <row r="211" spans="1:2">
      <c r="A211" s="60"/>
      <c r="B211" s="60"/>
    </row>
    <row r="212" spans="1:2">
      <c r="A212" s="60"/>
      <c r="B212" s="60"/>
    </row>
    <row r="213" spans="1:2">
      <c r="A213" s="60"/>
      <c r="B213" s="60"/>
    </row>
    <row r="214" spans="1:2">
      <c r="A214" s="60"/>
      <c r="B214" s="60"/>
    </row>
    <row r="215" spans="1:2">
      <c r="A215" s="60"/>
      <c r="B215" s="60"/>
    </row>
    <row r="216" spans="1:2">
      <c r="A216" s="60"/>
      <c r="B216" s="60"/>
    </row>
    <row r="217" spans="1:2">
      <c r="A217" s="60"/>
      <c r="B217" s="60"/>
    </row>
    <row r="218" spans="1:2">
      <c r="A218" s="60"/>
      <c r="B218" s="60"/>
    </row>
    <row r="219" spans="1:2">
      <c r="A219" s="60"/>
      <c r="B219" s="60"/>
    </row>
    <row r="220" spans="1:2">
      <c r="A220" s="60"/>
      <c r="B220" s="60"/>
    </row>
    <row r="221" spans="1:2">
      <c r="A221" s="60"/>
      <c r="B221" s="60"/>
    </row>
    <row r="222" spans="1:2">
      <c r="A222" s="60"/>
      <c r="B222" s="60"/>
    </row>
    <row r="223" spans="1:2">
      <c r="A223" s="60"/>
      <c r="B223" s="60"/>
    </row>
    <row r="224" spans="1:2">
      <c r="A224" s="60"/>
      <c r="B224" s="60"/>
    </row>
    <row r="225" spans="1:2">
      <c r="A225" s="60"/>
      <c r="B225" s="60"/>
    </row>
    <row r="226" spans="1:2">
      <c r="A226" s="60"/>
      <c r="B226" s="60"/>
    </row>
    <row r="227" spans="1:2">
      <c r="A227" s="60"/>
      <c r="B227" s="60"/>
    </row>
    <row r="228" spans="1:2">
      <c r="A228" s="60"/>
      <c r="B228" s="60"/>
    </row>
    <row r="229" spans="1:2">
      <c r="A229" s="60"/>
      <c r="B229" s="60"/>
    </row>
    <row r="230" spans="1:2">
      <c r="A230" s="60"/>
      <c r="B230" s="60"/>
    </row>
    <row r="231" spans="1:2">
      <c r="A231" s="60"/>
      <c r="B231" s="60"/>
    </row>
    <row r="232" spans="1:2">
      <c r="A232" s="60"/>
      <c r="B232" s="60"/>
    </row>
    <row r="233" spans="1:2">
      <c r="A233" s="60"/>
      <c r="B233" s="60"/>
    </row>
    <row r="234" spans="1:2">
      <c r="A234" s="60"/>
      <c r="B234" s="60"/>
    </row>
    <row r="235" spans="1:2">
      <c r="A235" s="60"/>
      <c r="B235" s="60"/>
    </row>
    <row r="236" spans="1:2">
      <c r="A236" s="60"/>
      <c r="B236" s="60"/>
    </row>
    <row r="237" spans="1:2">
      <c r="A237" s="60"/>
      <c r="B237" s="60"/>
    </row>
    <row r="238" spans="1:2">
      <c r="A238" s="60"/>
      <c r="B238" s="60"/>
    </row>
    <row r="239" spans="1:2">
      <c r="A239" s="60"/>
      <c r="B239" s="60"/>
    </row>
    <row r="240" spans="1:2">
      <c r="A240" s="60"/>
      <c r="B240" s="60"/>
    </row>
    <row r="241" spans="1:2">
      <c r="A241" s="60"/>
      <c r="B241" s="60"/>
    </row>
    <row r="242" spans="1:2">
      <c r="A242" s="60"/>
      <c r="B242" s="60"/>
    </row>
    <row r="243" spans="1:2">
      <c r="A243" s="60"/>
      <c r="B243" s="60"/>
    </row>
    <row r="244" spans="1:2">
      <c r="A244" s="60"/>
      <c r="B244" s="60"/>
    </row>
    <row r="245" spans="1:2">
      <c r="A245" s="60"/>
      <c r="B245" s="60"/>
    </row>
    <row r="246" spans="1:2">
      <c r="A246" s="60"/>
      <c r="B246" s="60"/>
    </row>
    <row r="247" spans="1:2">
      <c r="A247" s="60"/>
      <c r="B247" s="60"/>
    </row>
    <row r="248" spans="1:2">
      <c r="A248" s="60"/>
      <c r="B248" s="60"/>
    </row>
    <row r="249" spans="1:2">
      <c r="A249" s="60"/>
      <c r="B249" s="60"/>
    </row>
    <row r="250" spans="1:2">
      <c r="A250" s="60"/>
      <c r="B250" s="60"/>
    </row>
    <row r="251" spans="1:2">
      <c r="A251" s="60"/>
      <c r="B251" s="60"/>
    </row>
    <row r="252" spans="1:2">
      <c r="A252" s="60"/>
      <c r="B252" s="60"/>
    </row>
    <row r="253" spans="1:2">
      <c r="A253" s="60"/>
      <c r="B253" s="60"/>
    </row>
    <row r="254" spans="1:2">
      <c r="A254" s="60"/>
      <c r="B254" s="60"/>
    </row>
    <row r="255" spans="1:2">
      <c r="A255" s="60"/>
      <c r="B255" s="60"/>
    </row>
    <row r="256" spans="1:2">
      <c r="A256" s="60"/>
      <c r="B256" s="60"/>
    </row>
    <row r="257" spans="1:2">
      <c r="A257" s="60"/>
      <c r="B257" s="60"/>
    </row>
    <row r="258" spans="1:2">
      <c r="A258" s="60"/>
      <c r="B258" s="60"/>
    </row>
    <row r="259" spans="1:2">
      <c r="A259" s="60"/>
      <c r="B259" s="60"/>
    </row>
    <row r="260" spans="1:2">
      <c r="A260" s="60"/>
      <c r="B260" s="60"/>
    </row>
    <row r="261" spans="1:2">
      <c r="A261" s="60"/>
      <c r="B261" s="60"/>
    </row>
    <row r="262" spans="1:2">
      <c r="A262" s="60"/>
      <c r="B262" s="60"/>
    </row>
    <row r="263" spans="1:2">
      <c r="A263" s="60"/>
      <c r="B263" s="60"/>
    </row>
    <row r="264" spans="1:2">
      <c r="A264" s="60"/>
      <c r="B264" s="60"/>
    </row>
    <row r="265" spans="1:2">
      <c r="A265" s="60"/>
      <c r="B265" s="60"/>
    </row>
    <row r="266" spans="1:2">
      <c r="A266" s="60"/>
      <c r="B266" s="60"/>
    </row>
    <row r="267" spans="1:2">
      <c r="A267" s="60"/>
      <c r="B267" s="60"/>
    </row>
    <row r="268" spans="1:2">
      <c r="A268" s="60"/>
      <c r="B268" s="60"/>
    </row>
    <row r="269" spans="1:2">
      <c r="A269" s="60"/>
      <c r="B269" s="60"/>
    </row>
    <row r="270" spans="1:2">
      <c r="A270" s="60"/>
      <c r="B270" s="60"/>
    </row>
    <row r="271" spans="1:2">
      <c r="A271" s="60"/>
      <c r="B271" s="60"/>
    </row>
    <row r="272" spans="1:2">
      <c r="A272" s="60"/>
      <c r="B272" s="60"/>
    </row>
    <row r="273" spans="1:2">
      <c r="A273" s="60"/>
      <c r="B273" s="60"/>
    </row>
    <row r="274" spans="1:2">
      <c r="A274" s="60"/>
      <c r="B274" s="60"/>
    </row>
    <row r="275" spans="1:2">
      <c r="A275" s="60"/>
      <c r="B275" s="60"/>
    </row>
    <row r="276" spans="1:2">
      <c r="A276" s="60"/>
      <c r="B276" s="60"/>
    </row>
    <row r="277" spans="1:2">
      <c r="A277" s="60"/>
      <c r="B277" s="60"/>
    </row>
    <row r="278" spans="1:2">
      <c r="A278" s="60"/>
      <c r="B278" s="60"/>
    </row>
    <row r="279" spans="1:2">
      <c r="A279" s="60"/>
      <c r="B279" s="60"/>
    </row>
    <row r="280" spans="1:2">
      <c r="A280" s="60"/>
      <c r="B280" s="60"/>
    </row>
    <row r="281" spans="1:2">
      <c r="A281" s="60"/>
      <c r="B281" s="60"/>
    </row>
    <row r="282" spans="1:2">
      <c r="A282" s="60"/>
      <c r="B282" s="60"/>
    </row>
    <row r="283" spans="1:2">
      <c r="A283" s="60"/>
      <c r="B283" s="60"/>
    </row>
    <row r="284" spans="1:2">
      <c r="A284" s="60"/>
      <c r="B284" s="60"/>
    </row>
    <row r="285" spans="1:2">
      <c r="A285" s="60"/>
      <c r="B285" s="60"/>
    </row>
    <row r="286" spans="1:2">
      <c r="A286" s="60"/>
      <c r="B286" s="60"/>
    </row>
    <row r="287" spans="1:2">
      <c r="A287" s="60"/>
      <c r="B287" s="60"/>
    </row>
    <row r="288" spans="1:2">
      <c r="A288" s="60"/>
      <c r="B288" s="60"/>
    </row>
    <row r="289" spans="1:2">
      <c r="A289" s="60"/>
      <c r="B289" s="60"/>
    </row>
    <row r="290" spans="1:2">
      <c r="A290" s="60"/>
      <c r="B290" s="60"/>
    </row>
    <row r="291" spans="1:2">
      <c r="A291" s="60"/>
      <c r="B291" s="60"/>
    </row>
    <row r="292" spans="1:2">
      <c r="A292" s="60"/>
      <c r="B292" s="60"/>
    </row>
    <row r="293" spans="1:2">
      <c r="A293" s="60"/>
      <c r="B293" s="60"/>
    </row>
    <row r="294" spans="1:2">
      <c r="A294" s="60"/>
      <c r="B294" s="60"/>
    </row>
    <row r="295" spans="1:2">
      <c r="A295" s="60"/>
      <c r="B295" s="60"/>
    </row>
    <row r="296" spans="1:2">
      <c r="A296" s="60"/>
      <c r="B296" s="60"/>
    </row>
    <row r="297" spans="1:2">
      <c r="A297" s="60"/>
      <c r="B297" s="60"/>
    </row>
    <row r="298" spans="1:2">
      <c r="A298" s="60"/>
      <c r="B298" s="60"/>
    </row>
    <row r="299" spans="1:2">
      <c r="A299" s="60"/>
      <c r="B299" s="60"/>
    </row>
    <row r="300" spans="1:2">
      <c r="A300" s="60"/>
      <c r="B300" s="60"/>
    </row>
    <row r="301" spans="1:2">
      <c r="A301" s="60"/>
      <c r="B301" s="60"/>
    </row>
    <row r="302" spans="1:2">
      <c r="A302" s="60"/>
      <c r="B302" s="60"/>
    </row>
    <row r="303" spans="1:2">
      <c r="A303" s="60"/>
      <c r="B303" s="60"/>
    </row>
    <row r="304" spans="1:2">
      <c r="A304" s="60"/>
      <c r="B304" s="60"/>
    </row>
    <row r="305" spans="1:2">
      <c r="A305" s="60"/>
      <c r="B305" s="60"/>
    </row>
    <row r="306" spans="1:2">
      <c r="A306" s="60"/>
      <c r="B306" s="60"/>
    </row>
    <row r="307" spans="1:2">
      <c r="A307" s="60"/>
      <c r="B307" s="60"/>
    </row>
    <row r="308" spans="1:2">
      <c r="A308" s="60"/>
      <c r="B308" s="60"/>
    </row>
    <row r="309" spans="1:2">
      <c r="A309" s="60"/>
      <c r="B309" s="60"/>
    </row>
    <row r="310" spans="1:2">
      <c r="A310" s="60"/>
      <c r="B310" s="60"/>
    </row>
    <row r="311" spans="1:2">
      <c r="A311" s="60"/>
      <c r="B311" s="60"/>
    </row>
    <row r="312" spans="1:2">
      <c r="A312" s="60"/>
      <c r="B312" s="60"/>
    </row>
    <row r="313" spans="1:2">
      <c r="A313" s="60"/>
      <c r="B313" s="60"/>
    </row>
    <row r="314" spans="1:2">
      <c r="A314" s="60"/>
      <c r="B314" s="60"/>
    </row>
    <row r="315" spans="1:2">
      <c r="A315" s="60"/>
      <c r="B315" s="60"/>
    </row>
    <row r="316" spans="1:2">
      <c r="A316" s="60"/>
      <c r="B316" s="60"/>
    </row>
    <row r="317" spans="1:2">
      <c r="A317" s="60"/>
      <c r="B317" s="60"/>
    </row>
    <row r="318" spans="1:2">
      <c r="A318" s="60"/>
      <c r="B318" s="60"/>
    </row>
    <row r="319" spans="1:2">
      <c r="A319" s="60"/>
      <c r="B319" s="60"/>
    </row>
    <row r="320" spans="1:2">
      <c r="A320" s="60"/>
      <c r="B320" s="60"/>
    </row>
    <row r="321" spans="1:2">
      <c r="A321" s="60"/>
      <c r="B321" s="60"/>
    </row>
    <row r="322" spans="1:2">
      <c r="A322" s="60"/>
      <c r="B322" s="60"/>
    </row>
    <row r="323" spans="1:2">
      <c r="A323" s="60"/>
      <c r="B323" s="60"/>
    </row>
    <row r="324" spans="1:2">
      <c r="A324" s="60"/>
      <c r="B324" s="60"/>
    </row>
    <row r="325" spans="1:2">
      <c r="A325" s="60"/>
      <c r="B325" s="60"/>
    </row>
    <row r="326" spans="1:2">
      <c r="A326" s="60"/>
      <c r="B326" s="60"/>
    </row>
    <row r="327" spans="1:2">
      <c r="A327" s="60"/>
      <c r="B327" s="60"/>
    </row>
    <row r="328" spans="1:2">
      <c r="A328" s="60"/>
      <c r="B328" s="60"/>
    </row>
    <row r="329" spans="1:2">
      <c r="A329" s="60"/>
      <c r="B329" s="60"/>
    </row>
    <row r="330" spans="1:2">
      <c r="A330" s="60"/>
      <c r="B330" s="60"/>
    </row>
    <row r="331" spans="1:2">
      <c r="A331" s="60"/>
      <c r="B331" s="60"/>
    </row>
    <row r="332" spans="1:2">
      <c r="A332" s="60"/>
      <c r="B332" s="60"/>
    </row>
    <row r="333" spans="1:2">
      <c r="A333" s="60"/>
      <c r="B333" s="60"/>
    </row>
    <row r="334" spans="1:2">
      <c r="A334" s="60"/>
      <c r="B334" s="60"/>
    </row>
    <row r="335" spans="1:2">
      <c r="A335" s="60"/>
      <c r="B335" s="60"/>
    </row>
    <row r="336" spans="1:2">
      <c r="A336" s="60"/>
      <c r="B336" s="60"/>
    </row>
    <row r="337" spans="1:2">
      <c r="A337" s="60"/>
      <c r="B337" s="60"/>
    </row>
    <row r="338" spans="1:2">
      <c r="A338" s="60"/>
      <c r="B338" s="60"/>
    </row>
    <row r="339" spans="1:2">
      <c r="A339" s="60"/>
      <c r="B339" s="60"/>
    </row>
    <row r="340" spans="1:2">
      <c r="A340" s="60"/>
      <c r="B340" s="60"/>
    </row>
    <row r="341" spans="1:2">
      <c r="A341" s="60"/>
      <c r="B341" s="60"/>
    </row>
    <row r="342" spans="1:2">
      <c r="A342" s="60"/>
      <c r="B342" s="60"/>
    </row>
    <row r="343" spans="1:2">
      <c r="A343" s="60"/>
      <c r="B343" s="60"/>
    </row>
    <row r="344" spans="1:2">
      <c r="A344" s="60"/>
      <c r="B344" s="60"/>
    </row>
    <row r="345" spans="1:2">
      <c r="A345" s="60"/>
      <c r="B345" s="60"/>
    </row>
    <row r="346" spans="1:2">
      <c r="A346" s="60"/>
      <c r="B346" s="60"/>
    </row>
    <row r="347" spans="1:2">
      <c r="A347" s="60"/>
      <c r="B347" s="60"/>
    </row>
    <row r="348" spans="1:2">
      <c r="A348" s="60"/>
      <c r="B348" s="60"/>
    </row>
    <row r="349" spans="1:2">
      <c r="A349" s="60"/>
      <c r="B349" s="60"/>
    </row>
    <row r="350" spans="1:2">
      <c r="A350" s="60"/>
      <c r="B350" s="60"/>
    </row>
    <row r="351" spans="1:2">
      <c r="A351" s="60"/>
      <c r="B351" s="60"/>
    </row>
    <row r="352" spans="1:2">
      <c r="A352" s="60"/>
      <c r="B352" s="60"/>
    </row>
    <row r="353" spans="1:2">
      <c r="A353" s="60"/>
      <c r="B353" s="60"/>
    </row>
    <row r="354" spans="1:2">
      <c r="A354" s="60"/>
      <c r="B354" s="60"/>
    </row>
    <row r="355" spans="1:2">
      <c r="A355" s="60"/>
      <c r="B355" s="60"/>
    </row>
    <row r="356" spans="1:2">
      <c r="A356" s="60"/>
      <c r="B356" s="60"/>
    </row>
    <row r="357" spans="1:2">
      <c r="A357" s="60"/>
      <c r="B357" s="60"/>
    </row>
    <row r="358" spans="1:2">
      <c r="A358" s="60"/>
      <c r="B358" s="60"/>
    </row>
    <row r="359" spans="1:2">
      <c r="A359" s="60"/>
      <c r="B359" s="60"/>
    </row>
    <row r="360" spans="1:2">
      <c r="A360" s="60"/>
      <c r="B360" s="60"/>
    </row>
    <row r="361" spans="1:2">
      <c r="A361" s="60"/>
      <c r="B361" s="60"/>
    </row>
    <row r="362" spans="1:2">
      <c r="A362" s="60"/>
      <c r="B362" s="60"/>
    </row>
    <row r="363" spans="1:2">
      <c r="A363" s="60"/>
      <c r="B363" s="60"/>
    </row>
    <row r="364" spans="1:2">
      <c r="A364" s="60"/>
      <c r="B364" s="60"/>
    </row>
    <row r="365" spans="1:2">
      <c r="A365" s="60"/>
      <c r="B365" s="60"/>
    </row>
    <row r="366" spans="1:2">
      <c r="A366" s="60"/>
      <c r="B366" s="60"/>
    </row>
    <row r="367" spans="1:2">
      <c r="A367" s="60"/>
      <c r="B367" s="60"/>
    </row>
    <row r="368" spans="1:2">
      <c r="A368" s="60"/>
      <c r="B368" s="60"/>
    </row>
    <row r="369" spans="1:2">
      <c r="A369" s="60"/>
      <c r="B369" s="60"/>
    </row>
    <row r="370" spans="1:2">
      <c r="A370" s="60"/>
      <c r="B370" s="60"/>
    </row>
    <row r="371" spans="1:2">
      <c r="A371" s="60"/>
      <c r="B371" s="60"/>
    </row>
    <row r="372" spans="1:2">
      <c r="A372" s="60"/>
      <c r="B372" s="60"/>
    </row>
    <row r="373" spans="1:2">
      <c r="A373" s="60"/>
      <c r="B373" s="60"/>
    </row>
    <row r="374" spans="1:2">
      <c r="A374" s="60"/>
      <c r="B374" s="60"/>
    </row>
    <row r="375" spans="1:2">
      <c r="A375" s="60"/>
      <c r="B375" s="60"/>
    </row>
    <row r="376" spans="1:2">
      <c r="A376" s="60"/>
      <c r="B376" s="60"/>
    </row>
    <row r="377" spans="1:2">
      <c r="A377" s="60"/>
      <c r="B377" s="60"/>
    </row>
    <row r="378" spans="1:2">
      <c r="A378" s="60"/>
      <c r="B378" s="60"/>
    </row>
    <row r="379" spans="1:2">
      <c r="A379" s="60"/>
      <c r="B379" s="60"/>
    </row>
    <row r="380" spans="1:2">
      <c r="A380" s="60"/>
      <c r="B380" s="60"/>
    </row>
    <row r="381" spans="1:2">
      <c r="A381" s="60"/>
      <c r="B381" s="60"/>
    </row>
    <row r="382" spans="1:2">
      <c r="A382" s="60"/>
      <c r="B382" s="60"/>
    </row>
    <row r="383" spans="1:2">
      <c r="A383" s="60"/>
      <c r="B383" s="60"/>
    </row>
    <row r="384" spans="1:2">
      <c r="A384" s="60"/>
      <c r="B384" s="60"/>
    </row>
    <row r="385" spans="1:2">
      <c r="A385" s="60"/>
      <c r="B385" s="60"/>
    </row>
    <row r="386" spans="1:2">
      <c r="A386" s="60"/>
      <c r="B386" s="60"/>
    </row>
    <row r="387" spans="1:2">
      <c r="A387" s="60"/>
      <c r="B387" s="60"/>
    </row>
    <row r="388" spans="1:2">
      <c r="A388" s="60"/>
      <c r="B388" s="60"/>
    </row>
    <row r="389" spans="1:2">
      <c r="A389" s="60"/>
      <c r="B389" s="60"/>
    </row>
    <row r="390" spans="1:2">
      <c r="A390" s="60"/>
      <c r="B390" s="60"/>
    </row>
    <row r="391" spans="1:2">
      <c r="A391" s="60"/>
      <c r="B391" s="60"/>
    </row>
    <row r="392" spans="1:2">
      <c r="A392" s="60"/>
      <c r="B392" s="60"/>
    </row>
    <row r="393" spans="1:2">
      <c r="A393" s="60"/>
      <c r="B393" s="60"/>
    </row>
    <row r="394" spans="1:2">
      <c r="A394" s="60"/>
      <c r="B394" s="60"/>
    </row>
    <row r="395" spans="1:2">
      <c r="A395" s="60"/>
      <c r="B395" s="60"/>
    </row>
    <row r="396" spans="1:2">
      <c r="A396" s="60"/>
      <c r="B396" s="60"/>
    </row>
    <row r="397" spans="1:2">
      <c r="A397" s="60"/>
      <c r="B397" s="60"/>
    </row>
    <row r="398" spans="1:2">
      <c r="A398" s="60"/>
      <c r="B398" s="60"/>
    </row>
    <row r="399" spans="1:2">
      <c r="A399" s="60"/>
      <c r="B399" s="60"/>
    </row>
    <row r="400" spans="1:2">
      <c r="A400" s="60"/>
      <c r="B400" s="60"/>
    </row>
    <row r="401" spans="1:2">
      <c r="A401" s="60"/>
      <c r="B401" s="60"/>
    </row>
    <row r="402" spans="1:2">
      <c r="A402" s="60"/>
      <c r="B402" s="60"/>
    </row>
    <row r="403" spans="1:2">
      <c r="A403" s="60"/>
      <c r="B403" s="60"/>
    </row>
    <row r="404" spans="1:2">
      <c r="A404" s="60"/>
      <c r="B404" s="60"/>
    </row>
    <row r="405" spans="1:2">
      <c r="A405" s="60"/>
      <c r="B405" s="60"/>
    </row>
    <row r="406" spans="1:2">
      <c r="A406" s="60"/>
      <c r="B406" s="60"/>
    </row>
    <row r="407" spans="1:2">
      <c r="A407" s="60"/>
      <c r="B407" s="60"/>
    </row>
    <row r="408" spans="1:2">
      <c r="A408" s="60"/>
      <c r="B408" s="60"/>
    </row>
    <row r="409" spans="1:2">
      <c r="A409" s="60"/>
      <c r="B409" s="60"/>
    </row>
    <row r="410" spans="1:2">
      <c r="A410" s="60"/>
      <c r="B410" s="60"/>
    </row>
    <row r="411" spans="1:2">
      <c r="A411" s="60"/>
      <c r="B411" s="60"/>
    </row>
    <row r="412" spans="1:2">
      <c r="A412" s="60"/>
      <c r="B412" s="60"/>
    </row>
    <row r="413" spans="1:2">
      <c r="A413" s="60"/>
      <c r="B413" s="60"/>
    </row>
    <row r="414" spans="1:2">
      <c r="A414" s="60"/>
      <c r="B414" s="60"/>
    </row>
    <row r="415" spans="1:2">
      <c r="A415" s="60"/>
      <c r="B415" s="60"/>
    </row>
    <row r="416" spans="1:2">
      <c r="A416" s="60"/>
      <c r="B416" s="60"/>
    </row>
    <row r="417" spans="1:2">
      <c r="A417" s="60"/>
      <c r="B417" s="60"/>
    </row>
    <row r="418" spans="1:2">
      <c r="A418" s="60"/>
      <c r="B418" s="60"/>
    </row>
    <row r="419" spans="1:2">
      <c r="A419" s="60"/>
      <c r="B419" s="60"/>
    </row>
    <row r="420" spans="1:2">
      <c r="A420" s="60"/>
      <c r="B420" s="60"/>
    </row>
    <row r="421" spans="1:2">
      <c r="A421" s="60"/>
      <c r="B421" s="60"/>
    </row>
    <row r="422" spans="1:2">
      <c r="A422" s="60"/>
      <c r="B422" s="60"/>
    </row>
    <row r="423" spans="1:2">
      <c r="A423" s="60"/>
      <c r="B423" s="60"/>
    </row>
    <row r="424" spans="1:2">
      <c r="A424" s="60"/>
      <c r="B424" s="60"/>
    </row>
    <row r="425" spans="1:2">
      <c r="A425" s="60"/>
      <c r="B425" s="60"/>
    </row>
    <row r="426" spans="1:2">
      <c r="A426" s="60"/>
      <c r="B426" s="60"/>
    </row>
    <row r="427" spans="1:2">
      <c r="A427" s="60"/>
      <c r="B427" s="60"/>
    </row>
    <row r="428" spans="1:2">
      <c r="A428" s="60"/>
      <c r="B428" s="60"/>
    </row>
    <row r="429" spans="1:2">
      <c r="A429" s="60"/>
      <c r="B429" s="60"/>
    </row>
    <row r="430" spans="1:2">
      <c r="A430" s="60"/>
      <c r="B430" s="60"/>
    </row>
    <row r="431" spans="1:2">
      <c r="A431" s="60"/>
      <c r="B431" s="60"/>
    </row>
    <row r="432" spans="1:2">
      <c r="A432" s="60"/>
      <c r="B432" s="60"/>
    </row>
    <row r="433" spans="1:2">
      <c r="A433" s="60"/>
      <c r="B433" s="60"/>
    </row>
    <row r="434" spans="1:2">
      <c r="A434" s="60"/>
      <c r="B434" s="60"/>
    </row>
    <row r="435" spans="1:2">
      <c r="A435" s="60"/>
      <c r="B435" s="60"/>
    </row>
    <row r="436" spans="1:2">
      <c r="A436" s="60"/>
      <c r="B436" s="60"/>
    </row>
    <row r="437" spans="1:2">
      <c r="A437" s="60"/>
      <c r="B437" s="60"/>
    </row>
    <row r="438" spans="1:2">
      <c r="A438" s="60"/>
      <c r="B438" s="60"/>
    </row>
    <row r="439" spans="1:2">
      <c r="A439" s="60"/>
      <c r="B439" s="60"/>
    </row>
    <row r="440" spans="1:2">
      <c r="A440" s="60"/>
      <c r="B440" s="60"/>
    </row>
    <row r="441" spans="1:2">
      <c r="A441" s="60"/>
      <c r="B441" s="60"/>
    </row>
    <row r="442" spans="1:2">
      <c r="A442" s="60"/>
      <c r="B442" s="60"/>
    </row>
    <row r="443" spans="1:2">
      <c r="A443" s="60"/>
      <c r="B443" s="60"/>
    </row>
    <row r="444" spans="1:2">
      <c r="A444" s="60"/>
      <c r="B444" s="60"/>
    </row>
    <row r="445" spans="1:2">
      <c r="A445" s="60"/>
      <c r="B445" s="60"/>
    </row>
    <row r="446" spans="1:2">
      <c r="A446" s="60"/>
      <c r="B446" s="60"/>
    </row>
    <row r="447" spans="1:2">
      <c r="A447" s="60"/>
      <c r="B447" s="60"/>
    </row>
    <row r="448" spans="1:2">
      <c r="A448" s="60"/>
      <c r="B448" s="60"/>
    </row>
    <row r="449" spans="1:2">
      <c r="A449" s="60"/>
      <c r="B449" s="60"/>
    </row>
    <row r="450" spans="1:2">
      <c r="A450" s="60"/>
      <c r="B450" s="60"/>
    </row>
    <row r="451" spans="1:2">
      <c r="A451" s="60"/>
      <c r="B451" s="60"/>
    </row>
    <row r="452" spans="1:2">
      <c r="A452" s="60"/>
      <c r="B452" s="60"/>
    </row>
    <row r="453" spans="1:2">
      <c r="A453" s="60"/>
      <c r="B453" s="60"/>
    </row>
    <row r="454" spans="1:2">
      <c r="A454" s="60"/>
      <c r="B454" s="60"/>
    </row>
    <row r="455" spans="1:2">
      <c r="A455" s="60"/>
      <c r="B455" s="60"/>
    </row>
    <row r="456" spans="1:2">
      <c r="A456" s="60"/>
      <c r="B456" s="60"/>
    </row>
    <row r="457" spans="1:2">
      <c r="A457" s="60"/>
      <c r="B457" s="60"/>
    </row>
    <row r="458" spans="1:2">
      <c r="A458" s="60"/>
      <c r="B458" s="60"/>
    </row>
    <row r="459" spans="1:2">
      <c r="A459" s="60"/>
      <c r="B459" s="60"/>
    </row>
    <row r="460" spans="1:2">
      <c r="A460" s="60"/>
      <c r="B460" s="60"/>
    </row>
    <row r="461" spans="1:2">
      <c r="A461" s="60"/>
      <c r="B461" s="60"/>
    </row>
    <row r="462" spans="1:2">
      <c r="A462" s="60"/>
      <c r="B462" s="60"/>
    </row>
    <row r="463" spans="1:2">
      <c r="A463" s="60"/>
      <c r="B463" s="60"/>
    </row>
    <row r="464" spans="1:2">
      <c r="A464" s="60"/>
      <c r="B464" s="60"/>
    </row>
    <row r="465" spans="1:2">
      <c r="A465" s="60"/>
      <c r="B465" s="60"/>
    </row>
    <row r="466" spans="1:2">
      <c r="A466" s="60"/>
      <c r="B466" s="60"/>
    </row>
    <row r="467" spans="1:2">
      <c r="A467" s="60"/>
      <c r="B467" s="60"/>
    </row>
    <row r="468" spans="1:2">
      <c r="A468" s="60"/>
      <c r="B468" s="60"/>
    </row>
    <row r="469" spans="1:2">
      <c r="A469" s="60"/>
      <c r="B469" s="60"/>
    </row>
    <row r="470" spans="1:2">
      <c r="A470" s="60"/>
      <c r="B470" s="60"/>
    </row>
    <row r="471" spans="1:2">
      <c r="A471" s="60"/>
      <c r="B471" s="60"/>
    </row>
    <row r="472" spans="1:2">
      <c r="A472" s="60"/>
      <c r="B472" s="60"/>
    </row>
    <row r="473" spans="1:2">
      <c r="A473" s="60"/>
      <c r="B473" s="60"/>
    </row>
    <row r="474" spans="1:2">
      <c r="A474" s="60"/>
      <c r="B474" s="60"/>
    </row>
    <row r="475" spans="1:2">
      <c r="A475" s="60"/>
      <c r="B475" s="60"/>
    </row>
    <row r="476" spans="1:2">
      <c r="A476" s="60"/>
      <c r="B476" s="60"/>
    </row>
    <row r="477" spans="1:2">
      <c r="A477" s="60"/>
      <c r="B477" s="60"/>
    </row>
    <row r="478" spans="1:2">
      <c r="A478" s="60"/>
      <c r="B478" s="60"/>
    </row>
    <row r="479" spans="1:2">
      <c r="A479" s="60"/>
      <c r="B479" s="60"/>
    </row>
    <row r="480" spans="1:2">
      <c r="A480" s="60"/>
      <c r="B480" s="60"/>
    </row>
    <row r="481" spans="1:2">
      <c r="A481" s="60"/>
      <c r="B481" s="60"/>
    </row>
    <row r="482" spans="1:2">
      <c r="A482" s="60"/>
      <c r="B482" s="60"/>
    </row>
    <row r="483" spans="1:2">
      <c r="A483" s="60"/>
      <c r="B483" s="60"/>
    </row>
    <row r="484" spans="1:2">
      <c r="A484" s="60"/>
      <c r="B484" s="60"/>
    </row>
    <row r="485" spans="1:2">
      <c r="A485" s="60"/>
      <c r="B485" s="60"/>
    </row>
    <row r="486" spans="1:2">
      <c r="A486" s="60"/>
      <c r="B486" s="60"/>
    </row>
    <row r="487" spans="1:2">
      <c r="A487" s="60"/>
      <c r="B487" s="60"/>
    </row>
    <row r="488" spans="1:2">
      <c r="A488" s="60"/>
      <c r="B488" s="60"/>
    </row>
    <row r="489" spans="1:2">
      <c r="A489" s="60"/>
      <c r="B489" s="60"/>
    </row>
    <row r="490" spans="1:2">
      <c r="A490" s="60"/>
      <c r="B490" s="60"/>
    </row>
    <row r="491" spans="1:2">
      <c r="A491" s="60"/>
      <c r="B491" s="60"/>
    </row>
    <row r="492" spans="1:2">
      <c r="A492" s="60"/>
      <c r="B492" s="60"/>
    </row>
    <row r="493" spans="1:2">
      <c r="A493" s="60"/>
      <c r="B493" s="60"/>
    </row>
    <row r="494" spans="1:2">
      <c r="A494" s="60"/>
      <c r="B494" s="60"/>
    </row>
    <row r="495" spans="1:2">
      <c r="A495" s="60"/>
      <c r="B495" s="60"/>
    </row>
    <row r="496" spans="1:2">
      <c r="A496" s="60"/>
      <c r="B496" s="60"/>
    </row>
    <row r="497" spans="1:2">
      <c r="A497" s="60"/>
      <c r="B497" s="60"/>
    </row>
    <row r="498" spans="1:2">
      <c r="A498" s="60"/>
      <c r="B498" s="60"/>
    </row>
    <row r="499" spans="1:2">
      <c r="A499" s="60"/>
      <c r="B499" s="60"/>
    </row>
    <row r="500" spans="1:2">
      <c r="A500" s="60"/>
      <c r="B500" s="60"/>
    </row>
    <row r="501" spans="1:2">
      <c r="A501" s="60"/>
      <c r="B501" s="60"/>
    </row>
    <row r="502" spans="1:2">
      <c r="A502" s="60"/>
      <c r="B502" s="60"/>
    </row>
    <row r="503" spans="1:2">
      <c r="A503" s="60"/>
      <c r="B503" s="60"/>
    </row>
    <row r="504" spans="1:2">
      <c r="A504" s="60"/>
      <c r="B504" s="60"/>
    </row>
    <row r="505" spans="1:2">
      <c r="A505" s="60"/>
      <c r="B505" s="60"/>
    </row>
    <row r="506" spans="1:2">
      <c r="A506" s="60"/>
      <c r="B506" s="60"/>
    </row>
    <row r="507" spans="1:2">
      <c r="A507" s="60"/>
      <c r="B507" s="60"/>
    </row>
    <row r="508" spans="1:2">
      <c r="A508" s="60"/>
      <c r="B508" s="60"/>
    </row>
    <row r="509" spans="1:2">
      <c r="A509" s="60"/>
      <c r="B509" s="60"/>
    </row>
    <row r="510" spans="1:2">
      <c r="A510" s="60"/>
      <c r="B510" s="60"/>
    </row>
    <row r="511" spans="1:2">
      <c r="A511" s="60"/>
      <c r="B511" s="60"/>
    </row>
    <row r="512" spans="1:2">
      <c r="A512" s="60"/>
      <c r="B512" s="60"/>
    </row>
    <row r="513" spans="1:2">
      <c r="A513" s="60"/>
      <c r="B513" s="60"/>
    </row>
    <row r="514" spans="1:2">
      <c r="A514" s="60"/>
      <c r="B514" s="60"/>
    </row>
    <row r="515" spans="1:2">
      <c r="A515" s="60"/>
      <c r="B515" s="60"/>
    </row>
    <row r="516" spans="1:2">
      <c r="A516" s="60"/>
      <c r="B516" s="60"/>
    </row>
    <row r="517" spans="1:2">
      <c r="A517" s="60"/>
      <c r="B517" s="60"/>
    </row>
    <row r="518" spans="1:2">
      <c r="A518" s="60"/>
      <c r="B518" s="60"/>
    </row>
    <row r="519" spans="1:2">
      <c r="A519" s="60"/>
      <c r="B519" s="60"/>
    </row>
    <row r="520" spans="1:2">
      <c r="A520" s="60"/>
      <c r="B520" s="60"/>
    </row>
    <row r="521" spans="1:2">
      <c r="A521" s="60"/>
      <c r="B521" s="60"/>
    </row>
    <row r="522" spans="1:2">
      <c r="A522" s="60"/>
      <c r="B522" s="60"/>
    </row>
    <row r="523" spans="1:2">
      <c r="A523" s="60"/>
      <c r="B523" s="60"/>
    </row>
    <row r="524" spans="1:2">
      <c r="A524" s="60"/>
      <c r="B524" s="60"/>
    </row>
    <row r="525" spans="1:2">
      <c r="A525" s="60"/>
      <c r="B525" s="60"/>
    </row>
    <row r="526" spans="1:2">
      <c r="A526" s="60"/>
      <c r="B526" s="60"/>
    </row>
    <row r="527" spans="1:2">
      <c r="A527" s="60"/>
      <c r="B527" s="60"/>
    </row>
    <row r="528" spans="1:2">
      <c r="A528" s="60"/>
      <c r="B528" s="60"/>
    </row>
    <row r="529" spans="1:2">
      <c r="A529" s="60"/>
      <c r="B529" s="60"/>
    </row>
    <row r="530" spans="1:2">
      <c r="A530" s="60"/>
      <c r="B530" s="60"/>
    </row>
    <row r="531" spans="1:2">
      <c r="A531" s="60"/>
      <c r="B531" s="60"/>
    </row>
    <row r="532" spans="1:2">
      <c r="A532" s="60"/>
      <c r="B532" s="60"/>
    </row>
    <row r="533" spans="1:2">
      <c r="A533" s="60"/>
      <c r="B533" s="60"/>
    </row>
    <row r="534" spans="1:2">
      <c r="A534" s="60"/>
      <c r="B534" s="60"/>
    </row>
    <row r="535" spans="1:2">
      <c r="A535" s="60"/>
      <c r="B535" s="60"/>
    </row>
    <row r="536" spans="1:2">
      <c r="A536" s="60"/>
      <c r="B536" s="60"/>
    </row>
    <row r="537" spans="1:2">
      <c r="A537" s="60"/>
      <c r="B537" s="60"/>
    </row>
    <row r="538" spans="1:2">
      <c r="A538" s="60"/>
      <c r="B538" s="60"/>
    </row>
    <row r="539" spans="1:2">
      <c r="A539" s="60"/>
      <c r="B539" s="60"/>
    </row>
    <row r="540" spans="1:2">
      <c r="A540" s="60"/>
      <c r="B540" s="60"/>
    </row>
    <row r="541" spans="1:2">
      <c r="A541" s="60"/>
      <c r="B541" s="60"/>
    </row>
    <row r="542" spans="1:2">
      <c r="A542" s="60"/>
      <c r="B542" s="60"/>
    </row>
    <row r="543" spans="1:2">
      <c r="A543" s="60"/>
      <c r="B543" s="60"/>
    </row>
    <row r="544" spans="1:2">
      <c r="A544" s="60"/>
      <c r="B544" s="60"/>
    </row>
    <row r="545" spans="1:2">
      <c r="A545" s="60"/>
      <c r="B545" s="60"/>
    </row>
    <row r="546" spans="1:2">
      <c r="A546" s="60"/>
      <c r="B546" s="60"/>
    </row>
    <row r="547" spans="1:2">
      <c r="A547" s="60"/>
      <c r="B547" s="60"/>
    </row>
    <row r="548" spans="1:2">
      <c r="A548" s="60"/>
      <c r="B548" s="60"/>
    </row>
    <row r="549" spans="1:2">
      <c r="A549" s="60"/>
      <c r="B549" s="60"/>
    </row>
    <row r="550" spans="1:2">
      <c r="A550" s="60"/>
      <c r="B550" s="60"/>
    </row>
    <row r="551" spans="1:2">
      <c r="A551" s="60"/>
      <c r="B551" s="60"/>
    </row>
    <row r="552" spans="1:2">
      <c r="A552" s="60"/>
      <c r="B552" s="60"/>
    </row>
    <row r="553" spans="1:2">
      <c r="A553" s="60"/>
      <c r="B553" s="60"/>
    </row>
    <row r="554" spans="1:2">
      <c r="A554" s="60"/>
      <c r="B554" s="60"/>
    </row>
    <row r="555" spans="1:2">
      <c r="A555" s="60"/>
      <c r="B555" s="60"/>
    </row>
    <row r="556" spans="1:2">
      <c r="A556" s="60"/>
      <c r="B556" s="60"/>
    </row>
    <row r="557" spans="1:2">
      <c r="A557" s="60"/>
      <c r="B557" s="60"/>
    </row>
    <row r="558" spans="1:2">
      <c r="A558" s="60"/>
      <c r="B558" s="60"/>
    </row>
    <row r="559" spans="1:2">
      <c r="A559" s="60"/>
      <c r="B559" s="60"/>
    </row>
    <row r="560" spans="1:2">
      <c r="A560" s="60"/>
      <c r="B560" s="60"/>
    </row>
    <row r="561" spans="1:2">
      <c r="A561" s="60"/>
      <c r="B561" s="60"/>
    </row>
    <row r="562" spans="1:2">
      <c r="A562" s="60"/>
      <c r="B562" s="60"/>
    </row>
    <row r="563" spans="1:2">
      <c r="A563" s="60"/>
      <c r="B563" s="60"/>
    </row>
    <row r="564" spans="1:2">
      <c r="A564" s="60"/>
      <c r="B564" s="60"/>
    </row>
    <row r="565" spans="1:2">
      <c r="A565" s="60"/>
      <c r="B565" s="60"/>
    </row>
    <row r="566" spans="1:2">
      <c r="A566" s="60"/>
      <c r="B566" s="60"/>
    </row>
    <row r="567" spans="1:2">
      <c r="A567" s="60"/>
      <c r="B567" s="60"/>
    </row>
    <row r="568" spans="1:2">
      <c r="A568" s="60"/>
      <c r="B568" s="60"/>
    </row>
    <row r="569" spans="1:2">
      <c r="A569" s="60"/>
      <c r="B569" s="60"/>
    </row>
    <row r="570" spans="1:2">
      <c r="A570" s="60"/>
      <c r="B570" s="60"/>
    </row>
    <row r="571" spans="1:2">
      <c r="A571" s="60"/>
      <c r="B571" s="60"/>
    </row>
    <row r="572" spans="1:2">
      <c r="A572" s="60"/>
      <c r="B572" s="60"/>
    </row>
    <row r="573" spans="1:2">
      <c r="A573" s="60"/>
      <c r="B573" s="60"/>
    </row>
    <row r="574" spans="1:2">
      <c r="A574" s="60"/>
      <c r="B574" s="60"/>
    </row>
    <row r="575" spans="1:2">
      <c r="A575" s="60"/>
      <c r="B575" s="60"/>
    </row>
    <row r="576" spans="1:2">
      <c r="A576" s="60"/>
      <c r="B576" s="60"/>
    </row>
    <row r="577" spans="1:2">
      <c r="A577" s="60"/>
      <c r="B577" s="60"/>
    </row>
    <row r="578" spans="1:2">
      <c r="A578" s="60"/>
      <c r="B578" s="60"/>
    </row>
    <row r="579" spans="1:2">
      <c r="A579" s="60"/>
      <c r="B579" s="60"/>
    </row>
    <row r="580" spans="1:2">
      <c r="A580" s="60"/>
      <c r="B580" s="60"/>
    </row>
    <row r="581" spans="1:2">
      <c r="A581" s="60"/>
      <c r="B581" s="60"/>
    </row>
    <row r="582" spans="1:2">
      <c r="A582" s="60"/>
      <c r="B582" s="60"/>
    </row>
    <row r="583" spans="1:2">
      <c r="A583" s="60"/>
      <c r="B583" s="60"/>
    </row>
    <row r="584" spans="1:2">
      <c r="A584" s="60"/>
      <c r="B584" s="60"/>
    </row>
    <row r="585" spans="1:2">
      <c r="A585" s="60"/>
      <c r="B585" s="60"/>
    </row>
    <row r="586" spans="1:2">
      <c r="A586" s="60"/>
      <c r="B586" s="60"/>
    </row>
    <row r="587" spans="1:2">
      <c r="A587" s="60"/>
      <c r="B587" s="60"/>
    </row>
    <row r="588" spans="1:2">
      <c r="A588" s="60"/>
      <c r="B588" s="60"/>
    </row>
    <row r="589" spans="1:2">
      <c r="A589" s="60"/>
      <c r="B589" s="60"/>
    </row>
    <row r="590" spans="1:2">
      <c r="A590" s="60"/>
      <c r="B590" s="60"/>
    </row>
    <row r="591" spans="1:2">
      <c r="A591" s="60"/>
      <c r="B591" s="60"/>
    </row>
    <row r="592" spans="1:2">
      <c r="A592" s="60"/>
      <c r="B592" s="60"/>
    </row>
    <row r="593" spans="1:2">
      <c r="A593" s="60"/>
      <c r="B593" s="60"/>
    </row>
    <row r="594" spans="1:2">
      <c r="A594" s="60"/>
      <c r="B594" s="60"/>
    </row>
    <row r="595" spans="1:2">
      <c r="A595" s="60"/>
      <c r="B595" s="60"/>
    </row>
    <row r="596" spans="1:2">
      <c r="A596" s="60"/>
      <c r="B596" s="60"/>
    </row>
    <row r="597" spans="1:2">
      <c r="A597" s="60"/>
      <c r="B597" s="60"/>
    </row>
    <row r="598" spans="1:2">
      <c r="A598" s="60"/>
      <c r="B598" s="60"/>
    </row>
    <row r="599" spans="1:2">
      <c r="A599" s="60"/>
      <c r="B599" s="60"/>
    </row>
    <row r="600" spans="1:2">
      <c r="A600" s="60"/>
      <c r="B600" s="60"/>
    </row>
    <row r="601" spans="1:2">
      <c r="A601" s="60"/>
      <c r="B601" s="60"/>
    </row>
    <row r="602" spans="1:2">
      <c r="A602" s="60"/>
      <c r="B602" s="60"/>
    </row>
    <row r="603" spans="1:2">
      <c r="A603" s="60"/>
      <c r="B603" s="60"/>
    </row>
    <row r="604" spans="1:2">
      <c r="A604" s="60"/>
      <c r="B604" s="60"/>
    </row>
    <row r="605" spans="1:2">
      <c r="A605" s="60"/>
      <c r="B605" s="60"/>
    </row>
    <row r="606" spans="1:2">
      <c r="A606" s="60"/>
      <c r="B606" s="60"/>
    </row>
    <row r="607" spans="1:2">
      <c r="A607" s="60"/>
      <c r="B607" s="60"/>
    </row>
    <row r="608" spans="1:2">
      <c r="A608" s="60"/>
      <c r="B608" s="60"/>
    </row>
    <row r="609" spans="1:2">
      <c r="A609" s="60"/>
      <c r="B609" s="60"/>
    </row>
    <row r="610" spans="1:2">
      <c r="A610" s="60"/>
      <c r="B610" s="60"/>
    </row>
    <row r="611" spans="1:2">
      <c r="A611" s="60"/>
      <c r="B611" s="60"/>
    </row>
    <row r="612" spans="1:2">
      <c r="A612" s="60"/>
      <c r="B612" s="60"/>
    </row>
    <row r="613" spans="1:2">
      <c r="A613" s="60"/>
      <c r="B613" s="60"/>
    </row>
    <row r="614" spans="1:2">
      <c r="A614" s="60"/>
      <c r="B614" s="60"/>
    </row>
    <row r="615" spans="1:2">
      <c r="A615" s="60"/>
      <c r="B615" s="60"/>
    </row>
    <row r="616" spans="1:2">
      <c r="A616" s="60"/>
      <c r="B616" s="60"/>
    </row>
    <row r="617" spans="1:2">
      <c r="A617" s="60"/>
      <c r="B617" s="60"/>
    </row>
    <row r="618" spans="1:2">
      <c r="A618" s="60"/>
      <c r="B618" s="60"/>
    </row>
    <row r="619" spans="1:2">
      <c r="A619" s="60"/>
      <c r="B619" s="60"/>
    </row>
    <row r="620" spans="1:2">
      <c r="A620" s="60"/>
      <c r="B620" s="60"/>
    </row>
    <row r="621" spans="1:2">
      <c r="A621" s="60"/>
      <c r="B621" s="60"/>
    </row>
    <row r="622" spans="1:2">
      <c r="A622" s="60"/>
      <c r="B622" s="60"/>
    </row>
    <row r="623" spans="1:2">
      <c r="A623" s="60"/>
      <c r="B623" s="60"/>
    </row>
    <row r="624" spans="1:2">
      <c r="A624" s="60"/>
      <c r="B624" s="60"/>
    </row>
    <row r="625" spans="1:2">
      <c r="A625" s="60"/>
      <c r="B625" s="60"/>
    </row>
    <row r="626" spans="1:2">
      <c r="A626" s="60"/>
      <c r="B626" s="60"/>
    </row>
    <row r="627" spans="1:2">
      <c r="A627" s="60"/>
      <c r="B627" s="60"/>
    </row>
    <row r="628" spans="1:2">
      <c r="A628" s="60"/>
      <c r="B628" s="60"/>
    </row>
    <row r="629" spans="1:2">
      <c r="A629" s="60"/>
      <c r="B629" s="60"/>
    </row>
    <row r="630" spans="1:2">
      <c r="A630" s="60"/>
      <c r="B630" s="60"/>
    </row>
    <row r="631" spans="1:2">
      <c r="A631" s="60"/>
      <c r="B631" s="60"/>
    </row>
    <row r="632" spans="1:2">
      <c r="A632" s="60"/>
      <c r="B632" s="60"/>
    </row>
    <row r="633" spans="1:2">
      <c r="A633" s="60"/>
      <c r="B633" s="60"/>
    </row>
    <row r="634" spans="1:2">
      <c r="A634" s="60"/>
      <c r="B634" s="60"/>
    </row>
    <row r="635" spans="1:2">
      <c r="A635" s="60"/>
      <c r="B635" s="60"/>
    </row>
    <row r="636" spans="1:2">
      <c r="A636" s="60"/>
      <c r="B636" s="60"/>
    </row>
    <row r="637" spans="1:2">
      <c r="A637" s="60"/>
      <c r="B637" s="60"/>
    </row>
    <row r="638" spans="1:2">
      <c r="A638" s="60"/>
      <c r="B638" s="60"/>
    </row>
    <row r="639" spans="1:2">
      <c r="A639" s="60"/>
      <c r="B639" s="60"/>
    </row>
    <row r="640" spans="1:2">
      <c r="A640" s="60"/>
      <c r="B640" s="60"/>
    </row>
    <row r="641" spans="1:2">
      <c r="A641" s="60"/>
      <c r="B641" s="60"/>
    </row>
    <row r="642" spans="1:2">
      <c r="A642" s="60"/>
      <c r="B642" s="60"/>
    </row>
    <row r="643" spans="1:2">
      <c r="A643" s="60"/>
      <c r="B643" s="60"/>
    </row>
    <row r="644" spans="1:2">
      <c r="A644" s="60"/>
      <c r="B644" s="60"/>
    </row>
    <row r="645" spans="1:2">
      <c r="A645" s="60"/>
      <c r="B645" s="60"/>
    </row>
    <row r="646" spans="1:2">
      <c r="A646" s="60"/>
      <c r="B646" s="60"/>
    </row>
    <row r="647" spans="1:2">
      <c r="A647" s="60"/>
      <c r="B647" s="60"/>
    </row>
    <row r="648" spans="1:2">
      <c r="A648" s="60"/>
      <c r="B648" s="60"/>
    </row>
    <row r="649" spans="1:2">
      <c r="A649" s="60"/>
      <c r="B649" s="60"/>
    </row>
    <row r="650" spans="1:2">
      <c r="A650" s="60"/>
      <c r="B650" s="60"/>
    </row>
    <row r="651" spans="1:2">
      <c r="A651" s="60"/>
      <c r="B651" s="60"/>
    </row>
    <row r="652" spans="1:2">
      <c r="A652" s="60"/>
      <c r="B652" s="60"/>
    </row>
    <row r="653" spans="1:2">
      <c r="A653" s="60"/>
      <c r="B653" s="60"/>
    </row>
    <row r="654" spans="1:2">
      <c r="A654" s="60"/>
      <c r="B654" s="60"/>
    </row>
    <row r="655" spans="1:2">
      <c r="A655" s="60"/>
      <c r="B655" s="60"/>
    </row>
    <row r="656" spans="1:2">
      <c r="A656" s="60"/>
      <c r="B656" s="60"/>
    </row>
    <row r="657" spans="1:2">
      <c r="A657" s="60"/>
      <c r="B657" s="60"/>
    </row>
    <row r="658" spans="1:2">
      <c r="A658" s="60"/>
      <c r="B658" s="60"/>
    </row>
    <row r="659" spans="1:2">
      <c r="A659" s="60"/>
      <c r="B659" s="60"/>
    </row>
    <row r="660" spans="1:2">
      <c r="A660" s="60"/>
      <c r="B660" s="60"/>
    </row>
    <row r="661" spans="1:2">
      <c r="A661" s="60"/>
      <c r="B661" s="60"/>
    </row>
    <row r="662" spans="1:2">
      <c r="A662" s="60"/>
      <c r="B662" s="60"/>
    </row>
    <row r="663" spans="1:2">
      <c r="A663" s="60"/>
      <c r="B663" s="60"/>
    </row>
    <row r="664" spans="1:2">
      <c r="A664" s="60"/>
      <c r="B664" s="60"/>
    </row>
    <row r="665" spans="1:2">
      <c r="A665" s="60"/>
      <c r="B665" s="60"/>
    </row>
    <row r="666" spans="1:2">
      <c r="A666" s="60"/>
      <c r="B666" s="60"/>
    </row>
    <row r="667" spans="1:2">
      <c r="A667" s="60"/>
      <c r="B667" s="60"/>
    </row>
    <row r="668" spans="1:2">
      <c r="A668" s="60"/>
      <c r="B668" s="60"/>
    </row>
    <row r="669" spans="1:2">
      <c r="A669" s="60"/>
      <c r="B669" s="60"/>
    </row>
    <row r="670" spans="1:2">
      <c r="A670" s="60"/>
      <c r="B670" s="60"/>
    </row>
    <row r="671" spans="1:2">
      <c r="A671" s="60"/>
      <c r="B671" s="60"/>
    </row>
    <row r="672" spans="1:2">
      <c r="A672" s="60"/>
      <c r="B672" s="60"/>
    </row>
    <row r="673" spans="1:2">
      <c r="A673" s="60"/>
      <c r="B673" s="60"/>
    </row>
    <row r="674" spans="1:2">
      <c r="A674" s="60"/>
      <c r="B674" s="60"/>
    </row>
    <row r="675" spans="1:2">
      <c r="A675" s="60"/>
      <c r="B675" s="60"/>
    </row>
    <row r="676" spans="1:2">
      <c r="A676" s="60"/>
      <c r="B676" s="60"/>
    </row>
    <row r="677" spans="1:2">
      <c r="A677" s="60"/>
      <c r="B677" s="60"/>
    </row>
    <row r="678" spans="1:2">
      <c r="A678" s="60"/>
      <c r="B678" s="60"/>
    </row>
    <row r="679" spans="1:2">
      <c r="A679" s="60"/>
      <c r="B679" s="60"/>
    </row>
    <row r="680" spans="1:2">
      <c r="A680" s="60"/>
      <c r="B680" s="60"/>
    </row>
    <row r="681" spans="1:2">
      <c r="A681" s="60"/>
      <c r="B681" s="60"/>
    </row>
    <row r="682" spans="1:2">
      <c r="A682" s="60"/>
      <c r="B682" s="60"/>
    </row>
    <row r="683" spans="1:2">
      <c r="A683" s="60"/>
      <c r="B683" s="60"/>
    </row>
    <row r="684" spans="1:2">
      <c r="A684" s="60"/>
      <c r="B684" s="60"/>
    </row>
    <row r="685" spans="1:2">
      <c r="A685" s="60"/>
      <c r="B685" s="60"/>
    </row>
    <row r="686" spans="1:2">
      <c r="A686" s="60"/>
      <c r="B686" s="60"/>
    </row>
    <row r="687" spans="1:2">
      <c r="A687" s="60"/>
      <c r="B687" s="60"/>
    </row>
    <row r="688" spans="1:2">
      <c r="A688" s="60"/>
      <c r="B688" s="60"/>
    </row>
    <row r="689" spans="1:2">
      <c r="A689" s="60"/>
      <c r="B689" s="60"/>
    </row>
    <row r="690" spans="1:2">
      <c r="A690" s="60"/>
      <c r="B690" s="60"/>
    </row>
    <row r="691" spans="1:2">
      <c r="A691" s="60"/>
      <c r="B691" s="60"/>
    </row>
    <row r="692" spans="1:2">
      <c r="A692" s="60"/>
      <c r="B692" s="60"/>
    </row>
    <row r="693" spans="1:2">
      <c r="A693" s="60"/>
      <c r="B693" s="60"/>
    </row>
    <row r="694" spans="1:2">
      <c r="A694" s="60"/>
      <c r="B694" s="60"/>
    </row>
    <row r="695" spans="1:2">
      <c r="A695" s="60"/>
      <c r="B695" s="60"/>
    </row>
    <row r="696" spans="1:2">
      <c r="A696" s="60"/>
      <c r="B696" s="60"/>
    </row>
    <row r="697" spans="1:2">
      <c r="A697" s="60"/>
      <c r="B697" s="60"/>
    </row>
    <row r="698" spans="1:2">
      <c r="A698" s="60"/>
      <c r="B698" s="60"/>
    </row>
    <row r="699" spans="1:2">
      <c r="A699" s="60"/>
      <c r="B699" s="60"/>
    </row>
  </sheetData>
  <mergeCells count="3">
    <mergeCell ref="A3:H3"/>
    <mergeCell ref="A13:B13"/>
    <mergeCell ref="D13:E13"/>
  </mergeCells>
  <pageMargins left="0.7" right="0.7" top="0.75" bottom="0.75" header="0.3" footer="0.3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5" r:id="rId3" name="Button 3">
              <controlPr defaultSize="0" print="0" autoFill="0" autoPict="0" macro="[0]!Botón3_AlHacerClic">
                <anchor moveWithCells="1" sizeWithCells="1">
                  <from>
                    <xdr:col>8</xdr:col>
                    <xdr:colOff>304800</xdr:colOff>
                    <xdr:row>5</xdr:row>
                    <xdr:rowOff>76200</xdr:rowOff>
                  </from>
                  <to>
                    <xdr:col>9</xdr:col>
                    <xdr:colOff>558800</xdr:colOff>
                    <xdr:row>7</xdr:row>
                    <xdr:rowOff>165100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 enableFormatConditionsCalculation="0">
    <tabColor theme="9" tint="-0.249977111117893"/>
  </sheetPr>
  <dimension ref="A2:V28"/>
  <sheetViews>
    <sheetView tabSelected="1" topLeftCell="A2" workbookViewId="0">
      <selection activeCell="A31" sqref="A31"/>
    </sheetView>
  </sheetViews>
  <sheetFormatPr baseColWidth="10" defaultRowHeight="14" x14ac:dyDescent="0"/>
  <cols>
    <col min="2" max="2" width="5.6640625" customWidth="1"/>
    <col min="3" max="3" width="4.5" customWidth="1"/>
    <col min="7" max="7" width="2.33203125" customWidth="1"/>
    <col min="8" max="8" width="3" customWidth="1"/>
    <col min="11" max="11" width="8" customWidth="1"/>
    <col min="12" max="12" width="7.5" customWidth="1"/>
    <col min="13" max="13" width="5.83203125" customWidth="1"/>
  </cols>
  <sheetData>
    <row r="2" spans="1:22" ht="20">
      <c r="A2" s="95" t="s">
        <v>12</v>
      </c>
      <c r="B2" s="96"/>
      <c r="C2" s="96"/>
      <c r="D2" s="96"/>
      <c r="E2" s="96"/>
      <c r="F2" s="96"/>
      <c r="G2" s="96"/>
      <c r="H2" s="96"/>
      <c r="I2" s="96"/>
      <c r="J2" s="96"/>
      <c r="K2" s="96"/>
      <c r="L2" s="96"/>
      <c r="M2" s="96"/>
      <c r="N2" s="96"/>
      <c r="O2" s="96"/>
      <c r="P2" s="96"/>
      <c r="Q2" s="97"/>
    </row>
    <row r="4" spans="1:22">
      <c r="B4" s="3" t="s">
        <v>0</v>
      </c>
      <c r="C4" s="78">
        <v>25</v>
      </c>
      <c r="D4" s="79"/>
      <c r="E4" s="9"/>
      <c r="I4" s="46" t="s">
        <v>6</v>
      </c>
      <c r="J4" s="46"/>
      <c r="K4" s="32"/>
    </row>
    <row r="5" spans="1:22" ht="25">
      <c r="B5" s="3" t="s">
        <v>1</v>
      </c>
      <c r="C5" s="78">
        <v>20</v>
      </c>
      <c r="D5" s="79"/>
      <c r="E5" s="9"/>
      <c r="I5" s="46" t="s">
        <v>7</v>
      </c>
      <c r="J5" s="46"/>
      <c r="K5" s="32"/>
      <c r="N5" s="36"/>
      <c r="O5" s="37"/>
      <c r="P5" s="37"/>
      <c r="Q5" s="37"/>
      <c r="R5" s="37"/>
      <c r="S5" s="37"/>
      <c r="T5" s="37"/>
      <c r="U5" s="37"/>
      <c r="V5" s="37"/>
    </row>
    <row r="6" spans="1:22">
      <c r="B6" s="4" t="s">
        <v>2</v>
      </c>
      <c r="C6" s="80">
        <f>C4/(C7*C5)</f>
        <v>0.625</v>
      </c>
      <c r="D6" s="81"/>
      <c r="E6" s="31"/>
      <c r="I6" s="47" t="s">
        <v>8</v>
      </c>
      <c r="J6" s="47"/>
      <c r="K6" s="33"/>
    </row>
    <row r="7" spans="1:22">
      <c r="B7" s="5" t="s">
        <v>3</v>
      </c>
      <c r="C7" s="102">
        <v>2</v>
      </c>
      <c r="D7" s="102"/>
      <c r="E7" s="9"/>
      <c r="I7" s="46" t="s">
        <v>9</v>
      </c>
      <c r="J7" s="46"/>
      <c r="K7" s="32"/>
    </row>
    <row r="8" spans="1:22">
      <c r="B8" s="7" t="s">
        <v>13</v>
      </c>
      <c r="C8" s="103">
        <f>C4/C5</f>
        <v>1.25</v>
      </c>
      <c r="D8" s="103"/>
      <c r="E8" s="9"/>
      <c r="I8" s="34"/>
      <c r="J8" s="35"/>
      <c r="K8" s="8"/>
    </row>
    <row r="9" spans="1:22">
      <c r="B9" s="44" t="s">
        <v>1</v>
      </c>
      <c r="C9" s="104">
        <v>4</v>
      </c>
      <c r="D9" s="105"/>
      <c r="E9" s="9"/>
      <c r="I9" s="43"/>
      <c r="J9" s="8"/>
      <c r="K9" s="8"/>
    </row>
    <row r="12" spans="1:22" ht="15" customHeight="1">
      <c r="A12" s="98" t="s">
        <v>14</v>
      </c>
      <c r="B12" s="10" t="s">
        <v>5</v>
      </c>
      <c r="C12" s="11">
        <v>1</v>
      </c>
      <c r="D12" s="12">
        <f>(POWER($C$8,C12)/ FACT(C12))</f>
        <v>1.25</v>
      </c>
      <c r="E12" s="24"/>
      <c r="F12" s="98" t="s">
        <v>15</v>
      </c>
      <c r="G12" s="25" t="s">
        <v>5</v>
      </c>
      <c r="H12" s="12">
        <v>0</v>
      </c>
      <c r="I12" s="23">
        <f>1/(1+SUM(D12:D25))</f>
        <v>0.2418583709914621</v>
      </c>
      <c r="J12" s="92" t="s">
        <v>16</v>
      </c>
      <c r="K12" s="93"/>
      <c r="L12" s="94"/>
      <c r="M12" s="30">
        <f>SUM(I12:I25)</f>
        <v>0.99999999999999989</v>
      </c>
    </row>
    <row r="13" spans="1:22">
      <c r="A13" s="99"/>
      <c r="B13" s="13" t="s">
        <v>5</v>
      </c>
      <c r="C13" s="14">
        <v>2</v>
      </c>
      <c r="D13" s="15">
        <f>(POWER($C$8,C13)/ FACT(C13))</f>
        <v>0.78125</v>
      </c>
      <c r="E13" s="24"/>
      <c r="F13" s="99"/>
      <c r="G13" s="26" t="s">
        <v>5</v>
      </c>
      <c r="H13" s="15">
        <v>1</v>
      </c>
      <c r="I13" s="15">
        <f>$I$12*(POWER($C$8,H13)/ FACT(H13))</f>
        <v>0.3023229637393276</v>
      </c>
      <c r="J13" s="24"/>
    </row>
    <row r="14" spans="1:22">
      <c r="A14" s="99"/>
      <c r="B14" s="13"/>
      <c r="C14" s="14"/>
      <c r="D14" s="16"/>
      <c r="E14" s="17"/>
      <c r="F14" s="99"/>
      <c r="G14" s="26" t="s">
        <v>5</v>
      </c>
      <c r="H14" s="15">
        <v>2</v>
      </c>
      <c r="I14" s="15">
        <f>$I$12*(POWER($C$8,H14)/ FACT(H14))</f>
        <v>0.18895185233707976</v>
      </c>
      <c r="J14" s="24"/>
      <c r="K14" s="101"/>
      <c r="L14" s="101"/>
    </row>
    <row r="15" spans="1:22" ht="15">
      <c r="A15" s="99"/>
      <c r="B15" s="13"/>
      <c r="C15" s="14"/>
      <c r="D15" s="16"/>
      <c r="E15" s="17"/>
      <c r="F15" s="99"/>
      <c r="G15" s="26"/>
      <c r="H15" s="15"/>
      <c r="I15" s="16"/>
      <c r="J15" s="17"/>
      <c r="K15" s="29"/>
      <c r="L15" s="30"/>
    </row>
    <row r="16" spans="1:22">
      <c r="A16" s="99"/>
      <c r="B16" s="13"/>
      <c r="C16" s="14"/>
      <c r="D16" s="16"/>
      <c r="E16" s="17"/>
      <c r="F16" s="99"/>
      <c r="G16" s="26"/>
      <c r="H16" s="15"/>
      <c r="I16" s="16"/>
      <c r="J16" s="17"/>
    </row>
    <row r="17" spans="1:10">
      <c r="A17" s="99"/>
      <c r="B17" s="13"/>
      <c r="C17" s="14"/>
      <c r="D17" s="16"/>
      <c r="E17" s="17"/>
      <c r="F17" s="99"/>
      <c r="G17" s="26"/>
      <c r="H17" s="15"/>
      <c r="I17" s="16"/>
      <c r="J17" s="17"/>
    </row>
    <row r="18" spans="1:10">
      <c r="A18" s="99"/>
      <c r="B18" s="21"/>
      <c r="C18" s="22"/>
      <c r="D18" s="20"/>
      <c r="E18" s="17"/>
      <c r="F18" s="99"/>
      <c r="G18" s="27"/>
      <c r="H18" s="28"/>
      <c r="I18" s="20"/>
      <c r="J18" s="17"/>
    </row>
    <row r="19" spans="1:10">
      <c r="A19" s="99"/>
      <c r="B19" s="13" t="s">
        <v>5</v>
      </c>
      <c r="C19" s="14">
        <v>3</v>
      </c>
      <c r="D19" s="16">
        <f>POWER($C$8,C19)/(FACT($C$7)*POWER($C$7,C19-$C$7))</f>
        <v>0.48828125</v>
      </c>
      <c r="E19" s="17"/>
      <c r="F19" s="99"/>
      <c r="G19" s="26" t="s">
        <v>5</v>
      </c>
      <c r="H19" s="15">
        <v>3</v>
      </c>
      <c r="I19" s="16">
        <f>$I$12*POWER($C$8,H19)/(FACT($C$7)*POWER($C$7,H19-$C$7))</f>
        <v>0.11809490771067485</v>
      </c>
      <c r="J19" s="17"/>
    </row>
    <row r="20" spans="1:10">
      <c r="A20" s="99"/>
      <c r="B20" s="13" t="s">
        <v>5</v>
      </c>
      <c r="C20" s="14">
        <v>4</v>
      </c>
      <c r="D20" s="16">
        <f t="shared" ref="D20:D22" si="0">POWER($C$8,C20)/(FACT($C$7)*POWER($C$7,C20-$C$7))</f>
        <v>0.30517578125</v>
      </c>
      <c r="E20" s="17"/>
      <c r="F20" s="99"/>
      <c r="G20" s="26" t="s">
        <v>5</v>
      </c>
      <c r="H20" s="15">
        <v>4</v>
      </c>
      <c r="I20" s="16">
        <f t="shared" ref="I20:I22" si="1">$I$12*POWER($C$8,H20)/(FACT($C$7)*POWER($C$7,H20-$C$7))</f>
        <v>7.3809317319171786E-2</v>
      </c>
      <c r="J20" s="17"/>
    </row>
    <row r="21" spans="1:10">
      <c r="A21" s="99"/>
      <c r="B21" s="13" t="s">
        <v>5</v>
      </c>
      <c r="C21" s="14">
        <v>5</v>
      </c>
      <c r="D21" s="16">
        <f t="shared" si="0"/>
        <v>0.19073486328125</v>
      </c>
      <c r="E21" s="17"/>
      <c r="F21" s="99"/>
      <c r="G21" s="26" t="s">
        <v>5</v>
      </c>
      <c r="H21" s="15">
        <v>5</v>
      </c>
      <c r="I21" s="16">
        <f t="shared" si="1"/>
        <v>4.6130823324482366E-2</v>
      </c>
      <c r="J21" s="17"/>
    </row>
    <row r="22" spans="1:10">
      <c r="A22" s="99"/>
      <c r="B22" s="13" t="s">
        <v>5</v>
      </c>
      <c r="C22" s="14">
        <v>6</v>
      </c>
      <c r="D22" s="16">
        <f t="shared" si="0"/>
        <v>0.11920928955078125</v>
      </c>
      <c r="E22" s="17"/>
      <c r="F22" s="99"/>
      <c r="G22" s="26" t="s">
        <v>5</v>
      </c>
      <c r="H22" s="15">
        <v>6</v>
      </c>
      <c r="I22" s="16">
        <f t="shared" si="1"/>
        <v>2.8831764577801476E-2</v>
      </c>
      <c r="J22" s="17"/>
    </row>
    <row r="23" spans="1:10">
      <c r="A23" s="99"/>
      <c r="B23" s="13"/>
      <c r="C23" s="14"/>
      <c r="D23" s="16"/>
      <c r="E23" s="17"/>
      <c r="F23" s="99"/>
      <c r="G23" s="26"/>
      <c r="H23" s="15"/>
      <c r="I23" s="16"/>
      <c r="J23" s="17"/>
    </row>
    <row r="24" spans="1:10">
      <c r="A24" s="99"/>
      <c r="B24" s="13"/>
      <c r="C24" s="14"/>
      <c r="D24" s="16"/>
      <c r="E24" s="17"/>
      <c r="F24" s="99"/>
      <c r="G24" s="26"/>
      <c r="H24" s="15"/>
      <c r="I24" s="16"/>
      <c r="J24" s="17"/>
    </row>
    <row r="25" spans="1:10">
      <c r="A25" s="100"/>
      <c r="B25" s="18"/>
      <c r="C25" s="19"/>
      <c r="D25" s="20"/>
      <c r="E25" s="17"/>
      <c r="F25" s="100"/>
      <c r="G25" s="27"/>
      <c r="H25" s="28"/>
      <c r="I25" s="20"/>
      <c r="J25" s="17"/>
    </row>
    <row r="28" spans="1:10" ht="18">
      <c r="A28" s="91" t="s">
        <v>24</v>
      </c>
      <c r="B28" s="91"/>
      <c r="C28" s="91"/>
      <c r="D28" s="91"/>
      <c r="E28" s="91"/>
      <c r="F28" s="91"/>
    </row>
  </sheetData>
  <mergeCells count="12">
    <mergeCell ref="A28:F28"/>
    <mergeCell ref="J12:L12"/>
    <mergeCell ref="A2:Q2"/>
    <mergeCell ref="A12:A25"/>
    <mergeCell ref="F12:F25"/>
    <mergeCell ref="K14:L14"/>
    <mergeCell ref="C4:D4"/>
    <mergeCell ref="C5:D5"/>
    <mergeCell ref="C6:D6"/>
    <mergeCell ref="C7:D7"/>
    <mergeCell ref="C8:D8"/>
    <mergeCell ref="C9:D9"/>
  </mergeCells>
  <pageMargins left="0.7" right="0.7" top="0.75" bottom="0.75" header="0.3" footer="0.3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 enableFormatConditionsCalculation="0">
    <tabColor theme="7"/>
  </sheetPr>
  <dimension ref="A1:O698"/>
  <sheetViews>
    <sheetView workbookViewId="0">
      <selection activeCell="M10" sqref="M10"/>
    </sheetView>
  </sheetViews>
  <sheetFormatPr baseColWidth="10" defaultRowHeight="14" x14ac:dyDescent="0"/>
  <cols>
    <col min="1" max="1" width="6.5" customWidth="1"/>
    <col min="2" max="2" width="8.83203125" customWidth="1"/>
    <col min="5" max="5" width="9" customWidth="1"/>
  </cols>
  <sheetData>
    <row r="1" spans="1:15">
      <c r="M1">
        <v>5</v>
      </c>
      <c r="N1">
        <v>5</v>
      </c>
      <c r="O1">
        <v>5</v>
      </c>
    </row>
    <row r="2" spans="1:15" ht="15" thickBot="1"/>
    <row r="3" spans="1:15" ht="17" thickTop="1" thickBot="1">
      <c r="A3" s="75" t="s">
        <v>78</v>
      </c>
      <c r="B3" s="76"/>
      <c r="C3" s="76"/>
      <c r="D3" s="76"/>
      <c r="E3" s="76"/>
      <c r="F3" s="76"/>
      <c r="G3" s="76"/>
      <c r="H3" s="77"/>
    </row>
    <row r="4" spans="1:15" ht="15" thickTop="1"/>
    <row r="5" spans="1:15">
      <c r="A5" s="3" t="s">
        <v>0</v>
      </c>
      <c r="B5" s="62">
        <v>0.2</v>
      </c>
      <c r="C5" s="32"/>
    </row>
    <row r="6" spans="1:15">
      <c r="A6" s="3" t="s">
        <v>1</v>
      </c>
      <c r="B6" s="62">
        <v>0.5</v>
      </c>
      <c r="C6" s="32"/>
    </row>
    <row r="7" spans="1:15" ht="15">
      <c r="A7" s="4" t="s">
        <v>18</v>
      </c>
      <c r="B7" s="63">
        <f>B5/B6</f>
        <v>0.4</v>
      </c>
      <c r="C7" s="33"/>
      <c r="E7" s="2">
        <f>B7*100</f>
        <v>40</v>
      </c>
      <c r="F7" t="s">
        <v>10</v>
      </c>
    </row>
    <row r="8" spans="1:15">
      <c r="A8" s="5" t="s">
        <v>3</v>
      </c>
      <c r="B8" s="64">
        <v>1</v>
      </c>
      <c r="C8" s="32"/>
    </row>
    <row r="9" spans="1:15">
      <c r="A9" s="49" t="s">
        <v>1</v>
      </c>
      <c r="B9" s="61">
        <v>3</v>
      </c>
      <c r="C9" s="33"/>
    </row>
    <row r="10" spans="1:15">
      <c r="A10" s="65"/>
      <c r="B10" s="65"/>
      <c r="C10" s="65"/>
      <c r="E10" s="65"/>
      <c r="F10" s="65"/>
    </row>
    <row r="11" spans="1:15">
      <c r="A11" s="65"/>
      <c r="B11" s="65"/>
      <c r="C11" s="65"/>
      <c r="E11" s="65"/>
      <c r="F11" s="65"/>
    </row>
    <row r="12" spans="1:15" ht="18">
      <c r="A12" s="106" t="s">
        <v>26</v>
      </c>
      <c r="B12" s="106"/>
      <c r="C12" s="67"/>
      <c r="D12" s="106" t="s">
        <v>15</v>
      </c>
      <c r="E12" s="106"/>
      <c r="F12" s="65"/>
      <c r="G12" s="68" t="s">
        <v>7</v>
      </c>
      <c r="H12" s="68" t="s">
        <v>9</v>
      </c>
      <c r="I12" s="68" t="s">
        <v>6</v>
      </c>
      <c r="J12" s="68" t="s">
        <v>8</v>
      </c>
    </row>
    <row r="13" spans="1:15">
      <c r="A13" s="65" t="s">
        <v>27</v>
      </c>
      <c r="B13" s="65">
        <v>1.2000000000000002</v>
      </c>
      <c r="C13" s="65"/>
      <c r="D13" t="s">
        <v>77</v>
      </c>
      <c r="E13" s="65">
        <v>0.28216704288939048</v>
      </c>
      <c r="F13" s="65"/>
      <c r="G13" s="70">
        <v>0.48758465011286711</v>
      </c>
      <c r="H13" s="69">
        <v>1.3584905660377367</v>
      </c>
      <c r="I13" s="69">
        <v>1.2054176072234764</v>
      </c>
      <c r="J13" s="69">
        <v>3.358490566037736</v>
      </c>
    </row>
    <row r="14" spans="1:15">
      <c r="A14" s="65" t="s">
        <v>28</v>
      </c>
      <c r="B14" s="65">
        <v>0.96000000000000019</v>
      </c>
      <c r="C14" s="65"/>
      <c r="D14" t="s">
        <v>27</v>
      </c>
      <c r="E14">
        <v>0.33860045146726864</v>
      </c>
    </row>
    <row r="15" spans="1:15">
      <c r="A15" s="65" t="s">
        <v>29</v>
      </c>
      <c r="B15" s="65">
        <v>0.38400000000000012</v>
      </c>
      <c r="C15" s="65"/>
      <c r="D15" t="s">
        <v>28</v>
      </c>
      <c r="E15">
        <v>0.27088036117381492</v>
      </c>
    </row>
    <row r="16" spans="1:15">
      <c r="A16" s="65"/>
      <c r="B16" s="65"/>
      <c r="C16" s="65"/>
      <c r="D16" t="s">
        <v>29</v>
      </c>
      <c r="E16">
        <v>0.10835214446952598</v>
      </c>
    </row>
    <row r="17" spans="1:3">
      <c r="A17" s="65"/>
      <c r="B17" s="66"/>
      <c r="C17" s="65"/>
    </row>
    <row r="18" spans="1:3">
      <c r="A18" s="66"/>
      <c r="B18" s="66"/>
      <c r="C18" s="65"/>
    </row>
    <row r="19" spans="1:3">
      <c r="A19" s="66"/>
      <c r="B19" s="66"/>
      <c r="C19" s="65"/>
    </row>
    <row r="20" spans="1:3">
      <c r="A20" s="66"/>
      <c r="B20" s="66"/>
      <c r="C20" s="65"/>
    </row>
    <row r="21" spans="1:3">
      <c r="A21" s="66"/>
      <c r="B21" s="66"/>
      <c r="C21" s="65"/>
    </row>
    <row r="22" spans="1:3">
      <c r="A22" s="66"/>
      <c r="B22" s="66"/>
      <c r="C22" s="65"/>
    </row>
    <row r="23" spans="1:3">
      <c r="A23" s="66"/>
      <c r="B23" s="66"/>
      <c r="C23" s="65"/>
    </row>
    <row r="24" spans="1:3">
      <c r="A24" s="66"/>
      <c r="B24" s="66"/>
      <c r="C24" s="65"/>
    </row>
    <row r="25" spans="1:3">
      <c r="A25" s="66"/>
      <c r="B25" s="66"/>
      <c r="C25" s="65"/>
    </row>
    <row r="26" spans="1:3">
      <c r="A26" s="66"/>
      <c r="B26" s="66"/>
      <c r="C26" s="65"/>
    </row>
    <row r="27" spans="1:3">
      <c r="A27" s="66"/>
      <c r="B27" s="66"/>
      <c r="C27" s="65"/>
    </row>
    <row r="28" spans="1:3">
      <c r="A28" s="66"/>
      <c r="B28" s="66"/>
      <c r="C28" s="65"/>
    </row>
    <row r="29" spans="1:3">
      <c r="A29" s="66"/>
      <c r="B29" s="66"/>
      <c r="C29" s="65"/>
    </row>
    <row r="30" spans="1:3">
      <c r="A30" s="66"/>
      <c r="B30" s="66"/>
      <c r="C30" s="65"/>
    </row>
    <row r="31" spans="1:3">
      <c r="A31" s="66"/>
      <c r="B31" s="66"/>
      <c r="C31" s="65"/>
    </row>
    <row r="32" spans="1:3">
      <c r="A32" s="66"/>
      <c r="B32" s="66"/>
      <c r="C32" s="65"/>
    </row>
    <row r="33" spans="1:3">
      <c r="A33" s="66"/>
      <c r="B33" s="66"/>
      <c r="C33" s="65"/>
    </row>
    <row r="34" spans="1:3">
      <c r="A34" s="66"/>
      <c r="B34" s="66"/>
      <c r="C34" s="65"/>
    </row>
    <row r="35" spans="1:3">
      <c r="A35" s="66"/>
      <c r="B35" s="66"/>
      <c r="C35" s="65"/>
    </row>
    <row r="36" spans="1:3">
      <c r="A36" s="66"/>
      <c r="B36" s="66"/>
      <c r="C36" s="65"/>
    </row>
    <row r="37" spans="1:3">
      <c r="A37" s="66"/>
      <c r="B37" s="66"/>
      <c r="C37" s="65"/>
    </row>
    <row r="38" spans="1:3">
      <c r="A38" s="66"/>
      <c r="B38" s="66"/>
      <c r="C38" s="65"/>
    </row>
    <row r="39" spans="1:3">
      <c r="A39" s="66"/>
      <c r="B39" s="66"/>
      <c r="C39" s="65"/>
    </row>
    <row r="40" spans="1:3">
      <c r="A40" s="66"/>
      <c r="B40" s="66"/>
      <c r="C40" s="65"/>
    </row>
    <row r="41" spans="1:3">
      <c r="A41" s="66"/>
      <c r="B41" s="66"/>
      <c r="C41" s="65"/>
    </row>
    <row r="42" spans="1:3">
      <c r="A42" s="66"/>
      <c r="B42" s="66"/>
      <c r="C42" s="65"/>
    </row>
    <row r="43" spans="1:3">
      <c r="A43" s="66"/>
      <c r="B43" s="66"/>
      <c r="C43" s="65"/>
    </row>
    <row r="44" spans="1:3">
      <c r="A44" s="66"/>
      <c r="B44" s="66"/>
      <c r="C44" s="65"/>
    </row>
    <row r="45" spans="1:3">
      <c r="A45" s="66"/>
      <c r="B45" s="66"/>
      <c r="C45" s="65"/>
    </row>
    <row r="46" spans="1:3">
      <c r="A46" s="66"/>
      <c r="B46" s="66"/>
      <c r="C46" s="65"/>
    </row>
    <row r="47" spans="1:3">
      <c r="A47" s="66"/>
      <c r="B47" s="66"/>
      <c r="C47" s="65"/>
    </row>
    <row r="48" spans="1:3">
      <c r="A48" s="66"/>
      <c r="B48" s="66"/>
      <c r="C48" s="65"/>
    </row>
    <row r="49" spans="1:3">
      <c r="A49" s="66"/>
      <c r="B49" s="66"/>
      <c r="C49" s="65"/>
    </row>
    <row r="50" spans="1:3">
      <c r="A50" s="66"/>
      <c r="B50" s="66"/>
      <c r="C50" s="65"/>
    </row>
    <row r="51" spans="1:3">
      <c r="A51" s="66"/>
      <c r="B51" s="66"/>
      <c r="C51" s="65"/>
    </row>
    <row r="52" spans="1:3">
      <c r="A52" s="66"/>
      <c r="B52" s="66"/>
      <c r="C52" s="65"/>
    </row>
    <row r="53" spans="1:3">
      <c r="A53" s="66"/>
      <c r="B53" s="66"/>
      <c r="C53" s="65"/>
    </row>
    <row r="54" spans="1:3">
      <c r="A54" s="66"/>
      <c r="B54" s="66"/>
      <c r="C54" s="65"/>
    </row>
    <row r="55" spans="1:3">
      <c r="A55" s="66"/>
      <c r="B55" s="66"/>
      <c r="C55" s="65"/>
    </row>
    <row r="56" spans="1:3">
      <c r="A56" s="66"/>
      <c r="B56" s="66"/>
      <c r="C56" s="65"/>
    </row>
    <row r="57" spans="1:3">
      <c r="A57" s="66"/>
      <c r="B57" s="66"/>
      <c r="C57" s="65"/>
    </row>
    <row r="58" spans="1:3">
      <c r="A58" s="66"/>
      <c r="B58" s="66"/>
      <c r="C58" s="65"/>
    </row>
    <row r="59" spans="1:3">
      <c r="A59" s="66"/>
      <c r="B59" s="66"/>
      <c r="C59" s="65"/>
    </row>
    <row r="60" spans="1:3">
      <c r="A60" s="66"/>
      <c r="B60" s="66"/>
      <c r="C60" s="65"/>
    </row>
    <row r="61" spans="1:3">
      <c r="A61" s="66"/>
      <c r="B61" s="66"/>
      <c r="C61" s="65"/>
    </row>
    <row r="62" spans="1:3">
      <c r="A62" s="66"/>
      <c r="B62" s="66"/>
      <c r="C62" s="65"/>
    </row>
    <row r="63" spans="1:3">
      <c r="A63" s="66"/>
      <c r="B63" s="66"/>
      <c r="C63" s="65"/>
    </row>
    <row r="64" spans="1:3">
      <c r="A64" s="66"/>
      <c r="B64" s="66"/>
      <c r="C64" s="65"/>
    </row>
    <row r="65" spans="1:3">
      <c r="A65" s="66"/>
      <c r="B65" s="66"/>
      <c r="C65" s="65"/>
    </row>
    <row r="66" spans="1:3">
      <c r="A66" s="66"/>
      <c r="B66" s="66"/>
      <c r="C66" s="65"/>
    </row>
    <row r="67" spans="1:3">
      <c r="A67" s="66"/>
      <c r="B67" s="66"/>
      <c r="C67" s="65"/>
    </row>
    <row r="68" spans="1:3">
      <c r="A68" s="66"/>
      <c r="B68" s="66"/>
      <c r="C68" s="65"/>
    </row>
    <row r="69" spans="1:3">
      <c r="A69" s="66"/>
      <c r="B69" s="66"/>
      <c r="C69" s="65"/>
    </row>
    <row r="70" spans="1:3">
      <c r="A70" s="66"/>
      <c r="B70" s="66"/>
      <c r="C70" s="65"/>
    </row>
    <row r="71" spans="1:3">
      <c r="A71" s="66"/>
      <c r="B71" s="66"/>
      <c r="C71" s="65"/>
    </row>
    <row r="72" spans="1:3">
      <c r="A72" s="66"/>
      <c r="B72" s="66"/>
      <c r="C72" s="65"/>
    </row>
    <row r="73" spans="1:3">
      <c r="A73" s="66"/>
      <c r="B73" s="66"/>
      <c r="C73" s="65"/>
    </row>
    <row r="74" spans="1:3">
      <c r="A74" s="66"/>
      <c r="B74" s="66"/>
      <c r="C74" s="65"/>
    </row>
    <row r="75" spans="1:3">
      <c r="A75" s="66"/>
      <c r="B75" s="66"/>
      <c r="C75" s="65"/>
    </row>
    <row r="76" spans="1:3">
      <c r="A76" s="66"/>
      <c r="B76" s="66"/>
      <c r="C76" s="65"/>
    </row>
    <row r="77" spans="1:3">
      <c r="A77" s="66"/>
      <c r="B77" s="66"/>
      <c r="C77" s="65"/>
    </row>
    <row r="78" spans="1:3">
      <c r="A78" s="66"/>
      <c r="B78" s="66"/>
      <c r="C78" s="65"/>
    </row>
    <row r="79" spans="1:3">
      <c r="A79" s="66"/>
      <c r="B79" s="66"/>
      <c r="C79" s="65"/>
    </row>
    <row r="80" spans="1:3">
      <c r="A80" s="66"/>
      <c r="B80" s="66"/>
      <c r="C80" s="65"/>
    </row>
    <row r="81" spans="1:3">
      <c r="A81" s="66"/>
      <c r="B81" s="66"/>
      <c r="C81" s="65"/>
    </row>
    <row r="82" spans="1:3">
      <c r="A82" s="66"/>
      <c r="B82" s="66"/>
      <c r="C82" s="65"/>
    </row>
    <row r="83" spans="1:3">
      <c r="A83" s="66"/>
      <c r="B83" s="66"/>
      <c r="C83" s="65"/>
    </row>
    <row r="84" spans="1:3">
      <c r="A84" s="66"/>
      <c r="B84" s="66"/>
      <c r="C84" s="65"/>
    </row>
    <row r="85" spans="1:3">
      <c r="A85" s="66"/>
      <c r="B85" s="66"/>
      <c r="C85" s="65"/>
    </row>
    <row r="86" spans="1:3">
      <c r="A86" s="66"/>
      <c r="B86" s="66"/>
      <c r="C86" s="65"/>
    </row>
    <row r="87" spans="1:3">
      <c r="A87" s="66"/>
      <c r="B87" s="66"/>
      <c r="C87" s="65"/>
    </row>
    <row r="88" spans="1:3">
      <c r="A88" s="66"/>
      <c r="B88" s="66"/>
      <c r="C88" s="65"/>
    </row>
    <row r="89" spans="1:3">
      <c r="A89" s="66"/>
      <c r="B89" s="66"/>
      <c r="C89" s="65"/>
    </row>
    <row r="90" spans="1:3">
      <c r="A90" s="66"/>
      <c r="B90" s="66"/>
      <c r="C90" s="65"/>
    </row>
    <row r="91" spans="1:3">
      <c r="A91" s="66"/>
      <c r="B91" s="66"/>
      <c r="C91" s="65"/>
    </row>
    <row r="92" spans="1:3">
      <c r="A92" s="66"/>
      <c r="B92" s="66"/>
      <c r="C92" s="65"/>
    </row>
    <row r="93" spans="1:3">
      <c r="A93" s="66"/>
      <c r="B93" s="66"/>
      <c r="C93" s="65"/>
    </row>
    <row r="94" spans="1:3">
      <c r="A94" s="66"/>
      <c r="B94" s="66"/>
      <c r="C94" s="65"/>
    </row>
    <row r="95" spans="1:3">
      <c r="A95" s="66"/>
      <c r="B95" s="66"/>
      <c r="C95" s="65"/>
    </row>
    <row r="96" spans="1:3">
      <c r="A96" s="66"/>
      <c r="B96" s="66"/>
      <c r="C96" s="65"/>
    </row>
    <row r="97" spans="1:3">
      <c r="A97" s="66"/>
      <c r="B97" s="66"/>
      <c r="C97" s="65"/>
    </row>
    <row r="98" spans="1:3">
      <c r="A98" s="66"/>
      <c r="B98" s="66"/>
      <c r="C98" s="65"/>
    </row>
    <row r="99" spans="1:3">
      <c r="A99" s="66"/>
      <c r="B99" s="66"/>
      <c r="C99" s="65"/>
    </row>
    <row r="100" spans="1:3">
      <c r="A100" s="66"/>
      <c r="B100" s="66"/>
      <c r="C100" s="65"/>
    </row>
    <row r="101" spans="1:3">
      <c r="A101" s="66"/>
      <c r="B101" s="66"/>
      <c r="C101" s="65"/>
    </row>
    <row r="102" spans="1:3">
      <c r="A102" s="66"/>
      <c r="B102" s="66"/>
      <c r="C102" s="65"/>
    </row>
    <row r="103" spans="1:3">
      <c r="A103" s="66"/>
      <c r="B103" s="66"/>
      <c r="C103" s="65"/>
    </row>
    <row r="104" spans="1:3">
      <c r="A104" s="66"/>
      <c r="B104" s="66"/>
      <c r="C104" s="65"/>
    </row>
    <row r="105" spans="1:3">
      <c r="A105" s="66"/>
      <c r="B105" s="66"/>
      <c r="C105" s="65"/>
    </row>
    <row r="106" spans="1:3">
      <c r="A106" s="66"/>
      <c r="B106" s="66"/>
      <c r="C106" s="65"/>
    </row>
    <row r="107" spans="1:3">
      <c r="A107" s="66"/>
      <c r="B107" s="66"/>
      <c r="C107" s="65"/>
    </row>
    <row r="108" spans="1:3">
      <c r="A108" s="66"/>
      <c r="B108" s="66"/>
      <c r="C108" s="65"/>
    </row>
    <row r="109" spans="1:3">
      <c r="A109" s="66"/>
      <c r="B109" s="66"/>
      <c r="C109" s="65"/>
    </row>
    <row r="110" spans="1:3">
      <c r="A110" s="66"/>
      <c r="B110" s="66"/>
      <c r="C110" s="65"/>
    </row>
    <row r="111" spans="1:3">
      <c r="A111" s="66"/>
      <c r="B111" s="66"/>
      <c r="C111" s="65"/>
    </row>
    <row r="112" spans="1:3">
      <c r="A112" s="66"/>
      <c r="B112" s="66"/>
      <c r="C112" s="65"/>
    </row>
    <row r="113" spans="1:3">
      <c r="A113" s="66"/>
      <c r="B113" s="66"/>
      <c r="C113" s="65"/>
    </row>
    <row r="114" spans="1:3">
      <c r="A114" s="66"/>
      <c r="B114" s="66"/>
      <c r="C114" s="65"/>
    </row>
    <row r="115" spans="1:3">
      <c r="A115" s="66"/>
      <c r="B115" s="66"/>
      <c r="C115" s="65"/>
    </row>
    <row r="116" spans="1:3">
      <c r="A116" s="66"/>
      <c r="B116" s="66"/>
      <c r="C116" s="65"/>
    </row>
    <row r="117" spans="1:3">
      <c r="A117" s="66"/>
      <c r="B117" s="66"/>
      <c r="C117" s="65"/>
    </row>
    <row r="118" spans="1:3">
      <c r="A118" s="66"/>
      <c r="B118" s="66"/>
      <c r="C118" s="65"/>
    </row>
    <row r="119" spans="1:3">
      <c r="A119" s="66"/>
      <c r="B119" s="66"/>
      <c r="C119" s="65"/>
    </row>
    <row r="120" spans="1:3">
      <c r="A120" s="66"/>
      <c r="B120" s="66"/>
      <c r="C120" s="65"/>
    </row>
    <row r="121" spans="1:3">
      <c r="A121" s="66"/>
      <c r="B121" s="66"/>
      <c r="C121" s="65"/>
    </row>
    <row r="122" spans="1:3">
      <c r="A122" s="66"/>
      <c r="B122" s="66"/>
      <c r="C122" s="65"/>
    </row>
    <row r="123" spans="1:3">
      <c r="A123" s="66"/>
      <c r="B123" s="66"/>
      <c r="C123" s="65"/>
    </row>
    <row r="124" spans="1:3">
      <c r="A124" s="66"/>
      <c r="B124" s="66"/>
      <c r="C124" s="65"/>
    </row>
    <row r="125" spans="1:3">
      <c r="A125" s="66"/>
      <c r="B125" s="66"/>
      <c r="C125" s="65"/>
    </row>
    <row r="126" spans="1:3">
      <c r="A126" s="66"/>
      <c r="B126" s="66"/>
      <c r="C126" s="65"/>
    </row>
    <row r="127" spans="1:3">
      <c r="A127" s="66"/>
      <c r="B127" s="66"/>
      <c r="C127" s="65"/>
    </row>
    <row r="128" spans="1:3">
      <c r="A128" s="66"/>
      <c r="B128" s="66"/>
      <c r="C128" s="65"/>
    </row>
    <row r="129" spans="1:3">
      <c r="A129" s="66"/>
      <c r="B129" s="66"/>
      <c r="C129" s="65"/>
    </row>
    <row r="130" spans="1:3">
      <c r="A130" s="66"/>
      <c r="B130" s="66"/>
    </row>
    <row r="131" spans="1:3">
      <c r="A131" s="66"/>
      <c r="B131" s="66"/>
    </row>
    <row r="132" spans="1:3">
      <c r="A132" s="66"/>
      <c r="B132" s="66"/>
    </row>
    <row r="133" spans="1:3">
      <c r="A133" s="66"/>
      <c r="B133" s="66"/>
    </row>
    <row r="134" spans="1:3">
      <c r="A134" s="60"/>
      <c r="B134" s="60"/>
    </row>
    <row r="135" spans="1:3">
      <c r="A135" s="60"/>
      <c r="B135" s="60"/>
    </row>
    <row r="136" spans="1:3">
      <c r="A136" s="60"/>
      <c r="B136" s="60"/>
    </row>
    <row r="137" spans="1:3">
      <c r="A137" s="60"/>
      <c r="B137" s="60"/>
    </row>
    <row r="138" spans="1:3">
      <c r="A138" s="60"/>
      <c r="B138" s="60"/>
    </row>
    <row r="139" spans="1:3">
      <c r="A139" s="60"/>
      <c r="B139" s="60"/>
    </row>
    <row r="140" spans="1:3">
      <c r="A140" s="60"/>
      <c r="B140" s="60"/>
    </row>
    <row r="141" spans="1:3">
      <c r="A141" s="60"/>
      <c r="B141" s="60"/>
    </row>
    <row r="142" spans="1:3">
      <c r="A142" s="60"/>
      <c r="B142" s="60"/>
    </row>
    <row r="143" spans="1:3">
      <c r="A143" s="60"/>
      <c r="B143" s="60"/>
    </row>
    <row r="144" spans="1:3">
      <c r="A144" s="60"/>
      <c r="B144" s="60"/>
    </row>
    <row r="145" spans="1:2">
      <c r="A145" s="60"/>
      <c r="B145" s="60"/>
    </row>
    <row r="146" spans="1:2">
      <c r="A146" s="60"/>
      <c r="B146" s="60"/>
    </row>
    <row r="147" spans="1:2">
      <c r="A147" s="60"/>
      <c r="B147" s="60"/>
    </row>
    <row r="148" spans="1:2">
      <c r="A148" s="60"/>
      <c r="B148" s="60"/>
    </row>
    <row r="149" spans="1:2">
      <c r="A149" s="60"/>
      <c r="B149" s="60"/>
    </row>
    <row r="150" spans="1:2">
      <c r="A150" s="60"/>
      <c r="B150" s="60"/>
    </row>
    <row r="151" spans="1:2">
      <c r="A151" s="60"/>
      <c r="B151" s="60"/>
    </row>
    <row r="152" spans="1:2">
      <c r="A152" s="60"/>
      <c r="B152" s="60"/>
    </row>
    <row r="153" spans="1:2">
      <c r="A153" s="60"/>
      <c r="B153" s="60"/>
    </row>
    <row r="154" spans="1:2">
      <c r="A154" s="60"/>
      <c r="B154" s="60"/>
    </row>
    <row r="155" spans="1:2">
      <c r="A155" s="60"/>
      <c r="B155" s="60"/>
    </row>
    <row r="156" spans="1:2">
      <c r="A156" s="60"/>
      <c r="B156" s="60"/>
    </row>
    <row r="157" spans="1:2">
      <c r="A157" s="60"/>
      <c r="B157" s="60"/>
    </row>
    <row r="158" spans="1:2">
      <c r="A158" s="60"/>
      <c r="B158" s="60"/>
    </row>
    <row r="159" spans="1:2">
      <c r="A159" s="60"/>
      <c r="B159" s="60"/>
    </row>
    <row r="160" spans="1:2">
      <c r="A160" s="60"/>
      <c r="B160" s="60"/>
    </row>
    <row r="161" spans="1:2">
      <c r="A161" s="60"/>
      <c r="B161" s="60"/>
    </row>
    <row r="162" spans="1:2">
      <c r="A162" s="60"/>
      <c r="B162" s="60"/>
    </row>
    <row r="163" spans="1:2">
      <c r="A163" s="60"/>
      <c r="B163" s="60"/>
    </row>
    <row r="164" spans="1:2">
      <c r="A164" s="60"/>
      <c r="B164" s="60"/>
    </row>
    <row r="165" spans="1:2">
      <c r="A165" s="60"/>
      <c r="B165" s="60"/>
    </row>
    <row r="166" spans="1:2">
      <c r="A166" s="60"/>
      <c r="B166" s="60"/>
    </row>
    <row r="167" spans="1:2">
      <c r="A167" s="60"/>
      <c r="B167" s="60"/>
    </row>
    <row r="168" spans="1:2">
      <c r="A168" s="60"/>
      <c r="B168" s="60"/>
    </row>
    <row r="169" spans="1:2">
      <c r="A169" s="60"/>
      <c r="B169" s="60"/>
    </row>
    <row r="170" spans="1:2">
      <c r="A170" s="60"/>
      <c r="B170" s="60"/>
    </row>
    <row r="171" spans="1:2">
      <c r="A171" s="60"/>
      <c r="B171" s="60"/>
    </row>
    <row r="172" spans="1:2">
      <c r="A172" s="60"/>
      <c r="B172" s="60"/>
    </row>
    <row r="173" spans="1:2">
      <c r="A173" s="60"/>
      <c r="B173" s="60"/>
    </row>
    <row r="174" spans="1:2">
      <c r="A174" s="60"/>
      <c r="B174" s="60"/>
    </row>
    <row r="175" spans="1:2">
      <c r="A175" s="60"/>
      <c r="B175" s="60"/>
    </row>
    <row r="176" spans="1:2">
      <c r="A176" s="60"/>
      <c r="B176" s="60"/>
    </row>
    <row r="177" spans="1:2">
      <c r="A177" s="60"/>
      <c r="B177" s="60"/>
    </row>
    <row r="178" spans="1:2">
      <c r="A178" s="60"/>
      <c r="B178" s="60"/>
    </row>
    <row r="179" spans="1:2">
      <c r="A179" s="60"/>
      <c r="B179" s="60"/>
    </row>
    <row r="180" spans="1:2">
      <c r="A180" s="60"/>
      <c r="B180" s="60"/>
    </row>
    <row r="181" spans="1:2">
      <c r="A181" s="60"/>
      <c r="B181" s="60"/>
    </row>
    <row r="182" spans="1:2">
      <c r="A182" s="60"/>
      <c r="B182" s="60"/>
    </row>
    <row r="183" spans="1:2">
      <c r="A183" s="60"/>
      <c r="B183" s="60"/>
    </row>
    <row r="184" spans="1:2">
      <c r="A184" s="60"/>
      <c r="B184" s="60"/>
    </row>
    <row r="185" spans="1:2">
      <c r="A185" s="60"/>
      <c r="B185" s="60"/>
    </row>
    <row r="186" spans="1:2">
      <c r="A186" s="60"/>
      <c r="B186" s="60"/>
    </row>
    <row r="187" spans="1:2">
      <c r="A187" s="60"/>
      <c r="B187" s="60"/>
    </row>
    <row r="188" spans="1:2">
      <c r="A188" s="60"/>
      <c r="B188" s="60"/>
    </row>
    <row r="189" spans="1:2">
      <c r="A189" s="60"/>
      <c r="B189" s="60"/>
    </row>
    <row r="190" spans="1:2">
      <c r="A190" s="60"/>
      <c r="B190" s="60"/>
    </row>
    <row r="191" spans="1:2">
      <c r="A191" s="60"/>
      <c r="B191" s="60"/>
    </row>
    <row r="192" spans="1:2">
      <c r="A192" s="60"/>
      <c r="B192" s="60"/>
    </row>
    <row r="193" spans="1:2">
      <c r="A193" s="60"/>
      <c r="B193" s="60"/>
    </row>
    <row r="194" spans="1:2">
      <c r="A194" s="60"/>
      <c r="B194" s="60"/>
    </row>
    <row r="195" spans="1:2">
      <c r="A195" s="60"/>
      <c r="B195" s="60"/>
    </row>
    <row r="196" spans="1:2">
      <c r="A196" s="60"/>
      <c r="B196" s="60"/>
    </row>
    <row r="197" spans="1:2">
      <c r="A197" s="60"/>
      <c r="B197" s="60"/>
    </row>
    <row r="198" spans="1:2">
      <c r="A198" s="60"/>
      <c r="B198" s="60"/>
    </row>
    <row r="199" spans="1:2">
      <c r="A199" s="60"/>
      <c r="B199" s="60"/>
    </row>
    <row r="200" spans="1:2">
      <c r="A200" s="60"/>
      <c r="B200" s="60"/>
    </row>
    <row r="201" spans="1:2">
      <c r="A201" s="60"/>
      <c r="B201" s="60"/>
    </row>
    <row r="202" spans="1:2">
      <c r="A202" s="60"/>
      <c r="B202" s="60"/>
    </row>
    <row r="203" spans="1:2">
      <c r="A203" s="60"/>
      <c r="B203" s="60"/>
    </row>
    <row r="204" spans="1:2">
      <c r="A204" s="60"/>
      <c r="B204" s="60"/>
    </row>
    <row r="205" spans="1:2">
      <c r="A205" s="60"/>
      <c r="B205" s="60"/>
    </row>
    <row r="206" spans="1:2">
      <c r="A206" s="60"/>
      <c r="B206" s="60"/>
    </row>
    <row r="207" spans="1:2">
      <c r="A207" s="60"/>
      <c r="B207" s="60"/>
    </row>
    <row r="208" spans="1:2">
      <c r="A208" s="60"/>
      <c r="B208" s="60"/>
    </row>
    <row r="209" spans="1:2">
      <c r="A209" s="60"/>
      <c r="B209" s="60"/>
    </row>
    <row r="210" spans="1:2">
      <c r="A210" s="60"/>
      <c r="B210" s="60"/>
    </row>
    <row r="211" spans="1:2">
      <c r="A211" s="60"/>
      <c r="B211" s="60"/>
    </row>
    <row r="212" spans="1:2">
      <c r="A212" s="60"/>
      <c r="B212" s="60"/>
    </row>
    <row r="213" spans="1:2">
      <c r="A213" s="60"/>
      <c r="B213" s="60"/>
    </row>
    <row r="214" spans="1:2">
      <c r="A214" s="60"/>
      <c r="B214" s="60"/>
    </row>
    <row r="215" spans="1:2">
      <c r="A215" s="60"/>
      <c r="B215" s="60"/>
    </row>
    <row r="216" spans="1:2">
      <c r="A216" s="60"/>
      <c r="B216" s="60"/>
    </row>
    <row r="217" spans="1:2">
      <c r="A217" s="60"/>
      <c r="B217" s="60"/>
    </row>
    <row r="218" spans="1:2">
      <c r="A218" s="60"/>
      <c r="B218" s="60"/>
    </row>
    <row r="219" spans="1:2">
      <c r="A219" s="60"/>
      <c r="B219" s="60"/>
    </row>
    <row r="220" spans="1:2">
      <c r="A220" s="60"/>
      <c r="B220" s="60"/>
    </row>
    <row r="221" spans="1:2">
      <c r="A221" s="60"/>
      <c r="B221" s="60"/>
    </row>
    <row r="222" spans="1:2">
      <c r="A222" s="60"/>
      <c r="B222" s="60"/>
    </row>
    <row r="223" spans="1:2">
      <c r="A223" s="60"/>
      <c r="B223" s="60"/>
    </row>
    <row r="224" spans="1:2">
      <c r="A224" s="60"/>
      <c r="B224" s="60"/>
    </row>
    <row r="225" spans="1:2">
      <c r="A225" s="60"/>
      <c r="B225" s="60"/>
    </row>
    <row r="226" spans="1:2">
      <c r="A226" s="60"/>
      <c r="B226" s="60"/>
    </row>
    <row r="227" spans="1:2">
      <c r="A227" s="60"/>
      <c r="B227" s="60"/>
    </row>
    <row r="228" spans="1:2">
      <c r="A228" s="60"/>
      <c r="B228" s="60"/>
    </row>
    <row r="229" spans="1:2">
      <c r="A229" s="60"/>
      <c r="B229" s="60"/>
    </row>
    <row r="230" spans="1:2">
      <c r="A230" s="60"/>
      <c r="B230" s="60"/>
    </row>
    <row r="231" spans="1:2">
      <c r="A231" s="60"/>
      <c r="B231" s="60"/>
    </row>
    <row r="232" spans="1:2">
      <c r="A232" s="60"/>
      <c r="B232" s="60"/>
    </row>
    <row r="233" spans="1:2">
      <c r="A233" s="60"/>
      <c r="B233" s="60"/>
    </row>
    <row r="234" spans="1:2">
      <c r="A234" s="60"/>
      <c r="B234" s="60"/>
    </row>
    <row r="235" spans="1:2">
      <c r="A235" s="60"/>
      <c r="B235" s="60"/>
    </row>
    <row r="236" spans="1:2">
      <c r="A236" s="60"/>
      <c r="B236" s="60"/>
    </row>
    <row r="237" spans="1:2">
      <c r="A237" s="60"/>
      <c r="B237" s="60"/>
    </row>
    <row r="238" spans="1:2">
      <c r="A238" s="60"/>
      <c r="B238" s="60"/>
    </row>
    <row r="239" spans="1:2">
      <c r="A239" s="60"/>
      <c r="B239" s="60"/>
    </row>
    <row r="240" spans="1:2">
      <c r="A240" s="60"/>
      <c r="B240" s="60"/>
    </row>
    <row r="241" spans="1:2">
      <c r="A241" s="60"/>
      <c r="B241" s="60"/>
    </row>
    <row r="242" spans="1:2">
      <c r="A242" s="60"/>
      <c r="B242" s="60"/>
    </row>
    <row r="243" spans="1:2">
      <c r="A243" s="60"/>
      <c r="B243" s="60"/>
    </row>
    <row r="244" spans="1:2">
      <c r="A244" s="60"/>
      <c r="B244" s="60"/>
    </row>
    <row r="245" spans="1:2">
      <c r="A245" s="60"/>
      <c r="B245" s="60"/>
    </row>
    <row r="246" spans="1:2">
      <c r="A246" s="60"/>
      <c r="B246" s="60"/>
    </row>
    <row r="247" spans="1:2">
      <c r="A247" s="60"/>
      <c r="B247" s="60"/>
    </row>
    <row r="248" spans="1:2">
      <c r="A248" s="60"/>
      <c r="B248" s="60"/>
    </row>
    <row r="249" spans="1:2">
      <c r="A249" s="60"/>
      <c r="B249" s="60"/>
    </row>
    <row r="250" spans="1:2">
      <c r="A250" s="60"/>
      <c r="B250" s="60"/>
    </row>
    <row r="251" spans="1:2">
      <c r="A251" s="60"/>
      <c r="B251" s="60"/>
    </row>
    <row r="252" spans="1:2">
      <c r="A252" s="60"/>
      <c r="B252" s="60"/>
    </row>
    <row r="253" spans="1:2">
      <c r="A253" s="60"/>
      <c r="B253" s="60"/>
    </row>
    <row r="254" spans="1:2">
      <c r="A254" s="60"/>
      <c r="B254" s="60"/>
    </row>
    <row r="255" spans="1:2">
      <c r="A255" s="60"/>
      <c r="B255" s="60"/>
    </row>
    <row r="256" spans="1:2">
      <c r="A256" s="60"/>
      <c r="B256" s="60"/>
    </row>
    <row r="257" spans="1:2">
      <c r="A257" s="60"/>
      <c r="B257" s="60"/>
    </row>
    <row r="258" spans="1:2">
      <c r="A258" s="60"/>
      <c r="B258" s="60"/>
    </row>
    <row r="259" spans="1:2">
      <c r="A259" s="60"/>
      <c r="B259" s="60"/>
    </row>
    <row r="260" spans="1:2">
      <c r="A260" s="60"/>
      <c r="B260" s="60"/>
    </row>
    <row r="261" spans="1:2">
      <c r="A261" s="60"/>
      <c r="B261" s="60"/>
    </row>
    <row r="262" spans="1:2">
      <c r="A262" s="60"/>
      <c r="B262" s="60"/>
    </row>
    <row r="263" spans="1:2">
      <c r="A263" s="60"/>
      <c r="B263" s="60"/>
    </row>
    <row r="264" spans="1:2">
      <c r="A264" s="60"/>
      <c r="B264" s="60"/>
    </row>
    <row r="265" spans="1:2">
      <c r="A265" s="60"/>
      <c r="B265" s="60"/>
    </row>
    <row r="266" spans="1:2">
      <c r="A266" s="60"/>
      <c r="B266" s="60"/>
    </row>
    <row r="267" spans="1:2">
      <c r="A267" s="60"/>
      <c r="B267" s="60"/>
    </row>
    <row r="268" spans="1:2">
      <c r="A268" s="60"/>
      <c r="B268" s="60"/>
    </row>
    <row r="269" spans="1:2">
      <c r="A269" s="60"/>
      <c r="B269" s="60"/>
    </row>
    <row r="270" spans="1:2">
      <c r="A270" s="60"/>
      <c r="B270" s="60"/>
    </row>
    <row r="271" spans="1:2">
      <c r="A271" s="60"/>
      <c r="B271" s="60"/>
    </row>
    <row r="272" spans="1:2">
      <c r="A272" s="60"/>
      <c r="B272" s="60"/>
    </row>
    <row r="273" spans="1:2">
      <c r="A273" s="60"/>
      <c r="B273" s="60"/>
    </row>
    <row r="274" spans="1:2">
      <c r="A274" s="60"/>
      <c r="B274" s="60"/>
    </row>
    <row r="275" spans="1:2">
      <c r="A275" s="60"/>
      <c r="B275" s="60"/>
    </row>
    <row r="276" spans="1:2">
      <c r="A276" s="60"/>
      <c r="B276" s="60"/>
    </row>
    <row r="277" spans="1:2">
      <c r="A277" s="60"/>
      <c r="B277" s="60"/>
    </row>
    <row r="278" spans="1:2">
      <c r="A278" s="60"/>
      <c r="B278" s="60"/>
    </row>
    <row r="279" spans="1:2">
      <c r="A279" s="60"/>
      <c r="B279" s="60"/>
    </row>
    <row r="280" spans="1:2">
      <c r="A280" s="60"/>
      <c r="B280" s="60"/>
    </row>
    <row r="281" spans="1:2">
      <c r="A281" s="60"/>
      <c r="B281" s="60"/>
    </row>
    <row r="282" spans="1:2">
      <c r="A282" s="60"/>
      <c r="B282" s="60"/>
    </row>
    <row r="283" spans="1:2">
      <c r="A283" s="60"/>
      <c r="B283" s="60"/>
    </row>
    <row r="284" spans="1:2">
      <c r="A284" s="60"/>
      <c r="B284" s="60"/>
    </row>
    <row r="285" spans="1:2">
      <c r="A285" s="60"/>
      <c r="B285" s="60"/>
    </row>
    <row r="286" spans="1:2">
      <c r="A286" s="60"/>
      <c r="B286" s="60"/>
    </row>
    <row r="287" spans="1:2">
      <c r="A287" s="60"/>
      <c r="B287" s="60"/>
    </row>
    <row r="288" spans="1:2">
      <c r="A288" s="60"/>
      <c r="B288" s="60"/>
    </row>
    <row r="289" spans="1:2">
      <c r="A289" s="60"/>
      <c r="B289" s="60"/>
    </row>
    <row r="290" spans="1:2">
      <c r="A290" s="60"/>
      <c r="B290" s="60"/>
    </row>
    <row r="291" spans="1:2">
      <c r="A291" s="60"/>
      <c r="B291" s="60"/>
    </row>
    <row r="292" spans="1:2">
      <c r="A292" s="60"/>
      <c r="B292" s="60"/>
    </row>
    <row r="293" spans="1:2">
      <c r="A293" s="60"/>
      <c r="B293" s="60"/>
    </row>
    <row r="294" spans="1:2">
      <c r="A294" s="60"/>
      <c r="B294" s="60"/>
    </row>
    <row r="295" spans="1:2">
      <c r="A295" s="60"/>
      <c r="B295" s="60"/>
    </row>
    <row r="296" spans="1:2">
      <c r="A296" s="60"/>
      <c r="B296" s="60"/>
    </row>
    <row r="297" spans="1:2">
      <c r="A297" s="60"/>
      <c r="B297" s="60"/>
    </row>
    <row r="298" spans="1:2">
      <c r="A298" s="60"/>
      <c r="B298" s="60"/>
    </row>
    <row r="299" spans="1:2">
      <c r="A299" s="60"/>
      <c r="B299" s="60"/>
    </row>
    <row r="300" spans="1:2">
      <c r="A300" s="60"/>
      <c r="B300" s="60"/>
    </row>
    <row r="301" spans="1:2">
      <c r="A301" s="60"/>
      <c r="B301" s="60"/>
    </row>
    <row r="302" spans="1:2">
      <c r="A302" s="60"/>
      <c r="B302" s="60"/>
    </row>
    <row r="303" spans="1:2">
      <c r="A303" s="60"/>
      <c r="B303" s="60"/>
    </row>
    <row r="304" spans="1:2">
      <c r="A304" s="60"/>
      <c r="B304" s="60"/>
    </row>
    <row r="305" spans="1:2">
      <c r="A305" s="60"/>
      <c r="B305" s="60"/>
    </row>
    <row r="306" spans="1:2">
      <c r="A306" s="60"/>
      <c r="B306" s="60"/>
    </row>
    <row r="307" spans="1:2">
      <c r="A307" s="60"/>
      <c r="B307" s="60"/>
    </row>
    <row r="308" spans="1:2">
      <c r="A308" s="60"/>
      <c r="B308" s="60"/>
    </row>
    <row r="309" spans="1:2">
      <c r="A309" s="60"/>
      <c r="B309" s="60"/>
    </row>
    <row r="310" spans="1:2">
      <c r="A310" s="60"/>
      <c r="B310" s="60"/>
    </row>
    <row r="311" spans="1:2">
      <c r="A311" s="60"/>
      <c r="B311" s="60"/>
    </row>
    <row r="312" spans="1:2">
      <c r="A312" s="60"/>
      <c r="B312" s="60"/>
    </row>
    <row r="313" spans="1:2">
      <c r="A313" s="60"/>
      <c r="B313" s="60"/>
    </row>
    <row r="314" spans="1:2">
      <c r="A314" s="60"/>
      <c r="B314" s="60"/>
    </row>
    <row r="315" spans="1:2">
      <c r="A315" s="60"/>
      <c r="B315" s="60"/>
    </row>
    <row r="316" spans="1:2">
      <c r="A316" s="60"/>
      <c r="B316" s="60"/>
    </row>
    <row r="317" spans="1:2">
      <c r="A317" s="60"/>
      <c r="B317" s="60"/>
    </row>
    <row r="318" spans="1:2">
      <c r="A318" s="60"/>
      <c r="B318" s="60"/>
    </row>
    <row r="319" spans="1:2">
      <c r="A319" s="60"/>
      <c r="B319" s="60"/>
    </row>
    <row r="320" spans="1:2">
      <c r="A320" s="60"/>
      <c r="B320" s="60"/>
    </row>
    <row r="321" spans="1:2">
      <c r="A321" s="60"/>
      <c r="B321" s="60"/>
    </row>
    <row r="322" spans="1:2">
      <c r="A322" s="60"/>
      <c r="B322" s="60"/>
    </row>
    <row r="323" spans="1:2">
      <c r="A323" s="60"/>
      <c r="B323" s="60"/>
    </row>
    <row r="324" spans="1:2">
      <c r="A324" s="60"/>
      <c r="B324" s="60"/>
    </row>
    <row r="325" spans="1:2">
      <c r="A325" s="60"/>
      <c r="B325" s="60"/>
    </row>
    <row r="326" spans="1:2">
      <c r="A326" s="60"/>
      <c r="B326" s="60"/>
    </row>
    <row r="327" spans="1:2">
      <c r="A327" s="60"/>
      <c r="B327" s="60"/>
    </row>
    <row r="328" spans="1:2">
      <c r="A328" s="60"/>
      <c r="B328" s="60"/>
    </row>
    <row r="329" spans="1:2">
      <c r="A329" s="60"/>
      <c r="B329" s="60"/>
    </row>
    <row r="330" spans="1:2">
      <c r="A330" s="60"/>
      <c r="B330" s="60"/>
    </row>
    <row r="331" spans="1:2">
      <c r="A331" s="60"/>
      <c r="B331" s="60"/>
    </row>
    <row r="332" spans="1:2">
      <c r="A332" s="60"/>
      <c r="B332" s="60"/>
    </row>
    <row r="333" spans="1:2">
      <c r="A333" s="60"/>
      <c r="B333" s="60"/>
    </row>
    <row r="334" spans="1:2">
      <c r="A334" s="60"/>
      <c r="B334" s="60"/>
    </row>
    <row r="335" spans="1:2">
      <c r="A335" s="60"/>
      <c r="B335" s="60"/>
    </row>
    <row r="336" spans="1:2">
      <c r="A336" s="60"/>
      <c r="B336" s="60"/>
    </row>
    <row r="337" spans="1:2">
      <c r="A337" s="60"/>
      <c r="B337" s="60"/>
    </row>
    <row r="338" spans="1:2">
      <c r="A338" s="60"/>
      <c r="B338" s="60"/>
    </row>
    <row r="339" spans="1:2">
      <c r="A339" s="60"/>
      <c r="B339" s="60"/>
    </row>
    <row r="340" spans="1:2">
      <c r="A340" s="60"/>
      <c r="B340" s="60"/>
    </row>
    <row r="341" spans="1:2">
      <c r="A341" s="60"/>
      <c r="B341" s="60"/>
    </row>
    <row r="342" spans="1:2">
      <c r="A342" s="60"/>
      <c r="B342" s="60"/>
    </row>
    <row r="343" spans="1:2">
      <c r="A343" s="60"/>
      <c r="B343" s="60"/>
    </row>
    <row r="344" spans="1:2">
      <c r="A344" s="60"/>
      <c r="B344" s="60"/>
    </row>
    <row r="345" spans="1:2">
      <c r="A345" s="60"/>
      <c r="B345" s="60"/>
    </row>
    <row r="346" spans="1:2">
      <c r="A346" s="60"/>
      <c r="B346" s="60"/>
    </row>
    <row r="347" spans="1:2">
      <c r="A347" s="60"/>
      <c r="B347" s="60"/>
    </row>
    <row r="348" spans="1:2">
      <c r="A348" s="60"/>
      <c r="B348" s="60"/>
    </row>
    <row r="349" spans="1:2">
      <c r="A349" s="60"/>
      <c r="B349" s="60"/>
    </row>
    <row r="350" spans="1:2">
      <c r="A350" s="60"/>
      <c r="B350" s="60"/>
    </row>
    <row r="351" spans="1:2">
      <c r="A351" s="60"/>
      <c r="B351" s="60"/>
    </row>
    <row r="352" spans="1:2">
      <c r="A352" s="60"/>
      <c r="B352" s="60"/>
    </row>
    <row r="353" spans="1:2">
      <c r="A353" s="60"/>
      <c r="B353" s="60"/>
    </row>
    <row r="354" spans="1:2">
      <c r="A354" s="60"/>
      <c r="B354" s="60"/>
    </row>
    <row r="355" spans="1:2">
      <c r="A355" s="60"/>
      <c r="B355" s="60"/>
    </row>
    <row r="356" spans="1:2">
      <c r="A356" s="60"/>
      <c r="B356" s="60"/>
    </row>
    <row r="357" spans="1:2">
      <c r="A357" s="60"/>
      <c r="B357" s="60"/>
    </row>
    <row r="358" spans="1:2">
      <c r="A358" s="60"/>
      <c r="B358" s="60"/>
    </row>
    <row r="359" spans="1:2">
      <c r="A359" s="60"/>
      <c r="B359" s="60"/>
    </row>
    <row r="360" spans="1:2">
      <c r="A360" s="60"/>
      <c r="B360" s="60"/>
    </row>
    <row r="361" spans="1:2">
      <c r="A361" s="60"/>
      <c r="B361" s="60"/>
    </row>
    <row r="362" spans="1:2">
      <c r="A362" s="60"/>
      <c r="B362" s="60"/>
    </row>
    <row r="363" spans="1:2">
      <c r="A363" s="60"/>
      <c r="B363" s="60"/>
    </row>
    <row r="364" spans="1:2">
      <c r="A364" s="60"/>
      <c r="B364" s="60"/>
    </row>
    <row r="365" spans="1:2">
      <c r="A365" s="60"/>
      <c r="B365" s="60"/>
    </row>
    <row r="366" spans="1:2">
      <c r="A366" s="60"/>
      <c r="B366" s="60"/>
    </row>
    <row r="367" spans="1:2">
      <c r="A367" s="60"/>
      <c r="B367" s="60"/>
    </row>
    <row r="368" spans="1:2">
      <c r="A368" s="60"/>
      <c r="B368" s="60"/>
    </row>
    <row r="369" spans="1:2">
      <c r="A369" s="60"/>
      <c r="B369" s="60"/>
    </row>
    <row r="370" spans="1:2">
      <c r="A370" s="60"/>
      <c r="B370" s="60"/>
    </row>
    <row r="371" spans="1:2">
      <c r="A371" s="60"/>
      <c r="B371" s="60"/>
    </row>
    <row r="372" spans="1:2">
      <c r="A372" s="60"/>
      <c r="B372" s="60"/>
    </row>
    <row r="373" spans="1:2">
      <c r="A373" s="60"/>
      <c r="B373" s="60"/>
    </row>
    <row r="374" spans="1:2">
      <c r="A374" s="60"/>
      <c r="B374" s="60"/>
    </row>
    <row r="375" spans="1:2">
      <c r="A375" s="60"/>
      <c r="B375" s="60"/>
    </row>
    <row r="376" spans="1:2">
      <c r="A376" s="60"/>
      <c r="B376" s="60"/>
    </row>
    <row r="377" spans="1:2">
      <c r="A377" s="60"/>
      <c r="B377" s="60"/>
    </row>
    <row r="378" spans="1:2">
      <c r="A378" s="60"/>
      <c r="B378" s="60"/>
    </row>
    <row r="379" spans="1:2">
      <c r="A379" s="60"/>
      <c r="B379" s="60"/>
    </row>
    <row r="380" spans="1:2">
      <c r="A380" s="60"/>
      <c r="B380" s="60"/>
    </row>
    <row r="381" spans="1:2">
      <c r="A381" s="60"/>
      <c r="B381" s="60"/>
    </row>
    <row r="382" spans="1:2">
      <c r="A382" s="60"/>
      <c r="B382" s="60"/>
    </row>
    <row r="383" spans="1:2">
      <c r="A383" s="60"/>
      <c r="B383" s="60"/>
    </row>
    <row r="384" spans="1:2">
      <c r="A384" s="60"/>
      <c r="B384" s="60"/>
    </row>
    <row r="385" spans="1:2">
      <c r="A385" s="60"/>
      <c r="B385" s="60"/>
    </row>
    <row r="386" spans="1:2">
      <c r="A386" s="60"/>
      <c r="B386" s="60"/>
    </row>
    <row r="387" spans="1:2">
      <c r="A387" s="60"/>
      <c r="B387" s="60"/>
    </row>
    <row r="388" spans="1:2">
      <c r="A388" s="60"/>
      <c r="B388" s="60"/>
    </row>
    <row r="389" spans="1:2">
      <c r="A389" s="60"/>
      <c r="B389" s="60"/>
    </row>
    <row r="390" spans="1:2">
      <c r="A390" s="60"/>
      <c r="B390" s="60"/>
    </row>
    <row r="391" spans="1:2">
      <c r="A391" s="60"/>
      <c r="B391" s="60"/>
    </row>
    <row r="392" spans="1:2">
      <c r="A392" s="60"/>
      <c r="B392" s="60"/>
    </row>
    <row r="393" spans="1:2">
      <c r="A393" s="60"/>
      <c r="B393" s="60"/>
    </row>
    <row r="394" spans="1:2">
      <c r="A394" s="60"/>
      <c r="B394" s="60"/>
    </row>
    <row r="395" spans="1:2">
      <c r="A395" s="60"/>
      <c r="B395" s="60"/>
    </row>
    <row r="396" spans="1:2">
      <c r="A396" s="60"/>
      <c r="B396" s="60"/>
    </row>
    <row r="397" spans="1:2">
      <c r="A397" s="60"/>
      <c r="B397" s="60"/>
    </row>
    <row r="398" spans="1:2">
      <c r="A398" s="60"/>
      <c r="B398" s="60"/>
    </row>
    <row r="399" spans="1:2">
      <c r="A399" s="60"/>
      <c r="B399" s="60"/>
    </row>
    <row r="400" spans="1:2">
      <c r="A400" s="60"/>
      <c r="B400" s="60"/>
    </row>
    <row r="401" spans="1:2">
      <c r="A401" s="60"/>
      <c r="B401" s="60"/>
    </row>
    <row r="402" spans="1:2">
      <c r="A402" s="60"/>
      <c r="B402" s="60"/>
    </row>
    <row r="403" spans="1:2">
      <c r="A403" s="60"/>
      <c r="B403" s="60"/>
    </row>
    <row r="404" spans="1:2">
      <c r="A404" s="60"/>
      <c r="B404" s="60"/>
    </row>
    <row r="405" spans="1:2">
      <c r="A405" s="60"/>
      <c r="B405" s="60"/>
    </row>
    <row r="406" spans="1:2">
      <c r="A406" s="60"/>
      <c r="B406" s="60"/>
    </row>
    <row r="407" spans="1:2">
      <c r="A407" s="60"/>
      <c r="B407" s="60"/>
    </row>
    <row r="408" spans="1:2">
      <c r="A408" s="60"/>
      <c r="B408" s="60"/>
    </row>
    <row r="409" spans="1:2">
      <c r="A409" s="60"/>
      <c r="B409" s="60"/>
    </row>
    <row r="410" spans="1:2">
      <c r="A410" s="60"/>
      <c r="B410" s="60"/>
    </row>
    <row r="411" spans="1:2">
      <c r="A411" s="60"/>
      <c r="B411" s="60"/>
    </row>
    <row r="412" spans="1:2">
      <c r="A412" s="60"/>
      <c r="B412" s="60"/>
    </row>
    <row r="413" spans="1:2">
      <c r="A413" s="60"/>
      <c r="B413" s="60"/>
    </row>
    <row r="414" spans="1:2">
      <c r="A414" s="60"/>
      <c r="B414" s="60"/>
    </row>
    <row r="415" spans="1:2">
      <c r="A415" s="60"/>
      <c r="B415" s="60"/>
    </row>
    <row r="416" spans="1:2">
      <c r="A416" s="60"/>
      <c r="B416" s="60"/>
    </row>
    <row r="417" spans="1:2">
      <c r="A417" s="60"/>
      <c r="B417" s="60"/>
    </row>
    <row r="418" spans="1:2">
      <c r="A418" s="60"/>
      <c r="B418" s="60"/>
    </row>
    <row r="419" spans="1:2">
      <c r="A419" s="60"/>
      <c r="B419" s="60"/>
    </row>
    <row r="420" spans="1:2">
      <c r="A420" s="60"/>
      <c r="B420" s="60"/>
    </row>
    <row r="421" spans="1:2">
      <c r="A421" s="60"/>
      <c r="B421" s="60"/>
    </row>
    <row r="422" spans="1:2">
      <c r="A422" s="60"/>
      <c r="B422" s="60"/>
    </row>
    <row r="423" spans="1:2">
      <c r="A423" s="60"/>
      <c r="B423" s="60"/>
    </row>
    <row r="424" spans="1:2">
      <c r="A424" s="60"/>
      <c r="B424" s="60"/>
    </row>
    <row r="425" spans="1:2">
      <c r="A425" s="60"/>
      <c r="B425" s="60"/>
    </row>
    <row r="426" spans="1:2">
      <c r="A426" s="60"/>
      <c r="B426" s="60"/>
    </row>
    <row r="427" spans="1:2">
      <c r="A427" s="60"/>
      <c r="B427" s="60"/>
    </row>
    <row r="428" spans="1:2">
      <c r="A428" s="60"/>
      <c r="B428" s="60"/>
    </row>
    <row r="429" spans="1:2">
      <c r="A429" s="60"/>
      <c r="B429" s="60"/>
    </row>
    <row r="430" spans="1:2">
      <c r="A430" s="60"/>
      <c r="B430" s="60"/>
    </row>
    <row r="431" spans="1:2">
      <c r="A431" s="60"/>
      <c r="B431" s="60"/>
    </row>
    <row r="432" spans="1:2">
      <c r="A432" s="60"/>
      <c r="B432" s="60"/>
    </row>
    <row r="433" spans="1:2">
      <c r="A433" s="60"/>
      <c r="B433" s="60"/>
    </row>
    <row r="434" spans="1:2">
      <c r="A434" s="60"/>
      <c r="B434" s="60"/>
    </row>
    <row r="435" spans="1:2">
      <c r="A435" s="60"/>
      <c r="B435" s="60"/>
    </row>
    <row r="436" spans="1:2">
      <c r="A436" s="60"/>
      <c r="B436" s="60"/>
    </row>
    <row r="437" spans="1:2">
      <c r="A437" s="60"/>
      <c r="B437" s="60"/>
    </row>
    <row r="438" spans="1:2">
      <c r="A438" s="60"/>
      <c r="B438" s="60"/>
    </row>
    <row r="439" spans="1:2">
      <c r="A439" s="60"/>
      <c r="B439" s="60"/>
    </row>
    <row r="440" spans="1:2">
      <c r="A440" s="60"/>
      <c r="B440" s="60"/>
    </row>
    <row r="441" spans="1:2">
      <c r="A441" s="60"/>
      <c r="B441" s="60"/>
    </row>
    <row r="442" spans="1:2">
      <c r="A442" s="60"/>
      <c r="B442" s="60"/>
    </row>
    <row r="443" spans="1:2">
      <c r="A443" s="60"/>
      <c r="B443" s="60"/>
    </row>
    <row r="444" spans="1:2">
      <c r="A444" s="60"/>
      <c r="B444" s="60"/>
    </row>
    <row r="445" spans="1:2">
      <c r="A445" s="60"/>
      <c r="B445" s="60"/>
    </row>
    <row r="446" spans="1:2">
      <c r="A446" s="60"/>
      <c r="B446" s="60"/>
    </row>
    <row r="447" spans="1:2">
      <c r="A447" s="60"/>
      <c r="B447" s="60"/>
    </row>
    <row r="448" spans="1:2">
      <c r="A448" s="60"/>
      <c r="B448" s="60"/>
    </row>
    <row r="449" spans="1:2">
      <c r="A449" s="60"/>
      <c r="B449" s="60"/>
    </row>
    <row r="450" spans="1:2">
      <c r="A450" s="60"/>
      <c r="B450" s="60"/>
    </row>
    <row r="451" spans="1:2">
      <c r="A451" s="60"/>
      <c r="B451" s="60"/>
    </row>
    <row r="452" spans="1:2">
      <c r="A452" s="60"/>
      <c r="B452" s="60"/>
    </row>
    <row r="453" spans="1:2">
      <c r="A453" s="60"/>
      <c r="B453" s="60"/>
    </row>
    <row r="454" spans="1:2">
      <c r="A454" s="60"/>
      <c r="B454" s="60"/>
    </row>
    <row r="455" spans="1:2">
      <c r="A455" s="60"/>
      <c r="B455" s="60"/>
    </row>
    <row r="456" spans="1:2">
      <c r="A456" s="60"/>
      <c r="B456" s="60"/>
    </row>
    <row r="457" spans="1:2">
      <c r="A457" s="60"/>
      <c r="B457" s="60"/>
    </row>
    <row r="458" spans="1:2">
      <c r="A458" s="60"/>
      <c r="B458" s="60"/>
    </row>
    <row r="459" spans="1:2">
      <c r="A459" s="60"/>
      <c r="B459" s="60"/>
    </row>
    <row r="460" spans="1:2">
      <c r="A460" s="60"/>
      <c r="B460" s="60"/>
    </row>
    <row r="461" spans="1:2">
      <c r="A461" s="60"/>
      <c r="B461" s="60"/>
    </row>
    <row r="462" spans="1:2">
      <c r="A462" s="60"/>
      <c r="B462" s="60"/>
    </row>
    <row r="463" spans="1:2">
      <c r="A463" s="60"/>
      <c r="B463" s="60"/>
    </row>
    <row r="464" spans="1:2">
      <c r="A464" s="60"/>
      <c r="B464" s="60"/>
    </row>
    <row r="465" spans="1:2">
      <c r="A465" s="60"/>
      <c r="B465" s="60"/>
    </row>
    <row r="466" spans="1:2">
      <c r="A466" s="60"/>
      <c r="B466" s="60"/>
    </row>
    <row r="467" spans="1:2">
      <c r="A467" s="60"/>
      <c r="B467" s="60"/>
    </row>
    <row r="468" spans="1:2">
      <c r="A468" s="60"/>
      <c r="B468" s="60"/>
    </row>
    <row r="469" spans="1:2">
      <c r="A469" s="60"/>
      <c r="B469" s="60"/>
    </row>
    <row r="470" spans="1:2">
      <c r="A470" s="60"/>
      <c r="B470" s="60"/>
    </row>
    <row r="471" spans="1:2">
      <c r="A471" s="60"/>
      <c r="B471" s="60"/>
    </row>
    <row r="472" spans="1:2">
      <c r="A472" s="60"/>
      <c r="B472" s="60"/>
    </row>
    <row r="473" spans="1:2">
      <c r="A473" s="60"/>
      <c r="B473" s="60"/>
    </row>
    <row r="474" spans="1:2">
      <c r="A474" s="60"/>
      <c r="B474" s="60"/>
    </row>
    <row r="475" spans="1:2">
      <c r="A475" s="60"/>
      <c r="B475" s="60"/>
    </row>
    <row r="476" spans="1:2">
      <c r="A476" s="60"/>
      <c r="B476" s="60"/>
    </row>
    <row r="477" spans="1:2">
      <c r="A477" s="60"/>
      <c r="B477" s="60"/>
    </row>
    <row r="478" spans="1:2">
      <c r="A478" s="60"/>
      <c r="B478" s="60"/>
    </row>
    <row r="479" spans="1:2">
      <c r="A479" s="60"/>
      <c r="B479" s="60"/>
    </row>
    <row r="480" spans="1:2">
      <c r="A480" s="60"/>
      <c r="B480" s="60"/>
    </row>
    <row r="481" spans="1:2">
      <c r="A481" s="60"/>
      <c r="B481" s="60"/>
    </row>
    <row r="482" spans="1:2">
      <c r="A482" s="60"/>
      <c r="B482" s="60"/>
    </row>
    <row r="483" spans="1:2">
      <c r="A483" s="60"/>
      <c r="B483" s="60"/>
    </row>
    <row r="484" spans="1:2">
      <c r="A484" s="60"/>
      <c r="B484" s="60"/>
    </row>
    <row r="485" spans="1:2">
      <c r="A485" s="60"/>
      <c r="B485" s="60"/>
    </row>
    <row r="486" spans="1:2">
      <c r="A486" s="60"/>
      <c r="B486" s="60"/>
    </row>
    <row r="487" spans="1:2">
      <c r="A487" s="60"/>
      <c r="B487" s="60"/>
    </row>
    <row r="488" spans="1:2">
      <c r="A488" s="60"/>
      <c r="B488" s="60"/>
    </row>
    <row r="489" spans="1:2">
      <c r="A489" s="60"/>
      <c r="B489" s="60"/>
    </row>
    <row r="490" spans="1:2">
      <c r="A490" s="60"/>
      <c r="B490" s="60"/>
    </row>
    <row r="491" spans="1:2">
      <c r="A491" s="60"/>
      <c r="B491" s="60"/>
    </row>
    <row r="492" spans="1:2">
      <c r="A492" s="60"/>
      <c r="B492" s="60"/>
    </row>
    <row r="493" spans="1:2">
      <c r="A493" s="60"/>
      <c r="B493" s="60"/>
    </row>
    <row r="494" spans="1:2">
      <c r="A494" s="60"/>
      <c r="B494" s="60"/>
    </row>
    <row r="495" spans="1:2">
      <c r="A495" s="60"/>
      <c r="B495" s="60"/>
    </row>
    <row r="496" spans="1:2">
      <c r="A496" s="60"/>
      <c r="B496" s="60"/>
    </row>
    <row r="497" spans="1:2">
      <c r="A497" s="60"/>
      <c r="B497" s="60"/>
    </row>
    <row r="498" spans="1:2">
      <c r="A498" s="60"/>
      <c r="B498" s="60"/>
    </row>
    <row r="499" spans="1:2">
      <c r="A499" s="60"/>
      <c r="B499" s="60"/>
    </row>
    <row r="500" spans="1:2">
      <c r="A500" s="60"/>
      <c r="B500" s="60"/>
    </row>
    <row r="501" spans="1:2">
      <c r="A501" s="60"/>
      <c r="B501" s="60"/>
    </row>
    <row r="502" spans="1:2">
      <c r="A502" s="60"/>
      <c r="B502" s="60"/>
    </row>
    <row r="503" spans="1:2">
      <c r="A503" s="60"/>
      <c r="B503" s="60"/>
    </row>
    <row r="504" spans="1:2">
      <c r="A504" s="60"/>
      <c r="B504" s="60"/>
    </row>
    <row r="505" spans="1:2">
      <c r="A505" s="60"/>
      <c r="B505" s="60"/>
    </row>
    <row r="506" spans="1:2">
      <c r="A506" s="60"/>
      <c r="B506" s="60"/>
    </row>
    <row r="507" spans="1:2">
      <c r="A507" s="60"/>
      <c r="B507" s="60"/>
    </row>
    <row r="508" spans="1:2">
      <c r="A508" s="60"/>
      <c r="B508" s="60"/>
    </row>
    <row r="509" spans="1:2">
      <c r="A509" s="60"/>
      <c r="B509" s="60"/>
    </row>
    <row r="510" spans="1:2">
      <c r="A510" s="60"/>
      <c r="B510" s="60"/>
    </row>
    <row r="511" spans="1:2">
      <c r="A511" s="60"/>
      <c r="B511" s="60"/>
    </row>
    <row r="512" spans="1:2">
      <c r="A512" s="60"/>
      <c r="B512" s="60"/>
    </row>
    <row r="513" spans="1:2">
      <c r="A513" s="60"/>
      <c r="B513" s="60"/>
    </row>
    <row r="514" spans="1:2">
      <c r="A514" s="60"/>
      <c r="B514" s="60"/>
    </row>
    <row r="515" spans="1:2">
      <c r="A515" s="60"/>
      <c r="B515" s="60"/>
    </row>
    <row r="516" spans="1:2">
      <c r="A516" s="60"/>
      <c r="B516" s="60"/>
    </row>
    <row r="517" spans="1:2">
      <c r="A517" s="60"/>
      <c r="B517" s="60"/>
    </row>
    <row r="518" spans="1:2">
      <c r="A518" s="60"/>
      <c r="B518" s="60"/>
    </row>
    <row r="519" spans="1:2">
      <c r="A519" s="60"/>
      <c r="B519" s="60"/>
    </row>
    <row r="520" spans="1:2">
      <c r="A520" s="60"/>
      <c r="B520" s="60"/>
    </row>
    <row r="521" spans="1:2">
      <c r="A521" s="60"/>
      <c r="B521" s="60"/>
    </row>
    <row r="522" spans="1:2">
      <c r="A522" s="60"/>
      <c r="B522" s="60"/>
    </row>
    <row r="523" spans="1:2">
      <c r="A523" s="60"/>
      <c r="B523" s="60"/>
    </row>
    <row r="524" spans="1:2">
      <c r="A524" s="60"/>
      <c r="B524" s="60"/>
    </row>
    <row r="525" spans="1:2">
      <c r="A525" s="60"/>
      <c r="B525" s="60"/>
    </row>
    <row r="526" spans="1:2">
      <c r="A526" s="60"/>
      <c r="B526" s="60"/>
    </row>
    <row r="527" spans="1:2">
      <c r="A527" s="60"/>
      <c r="B527" s="60"/>
    </row>
    <row r="528" spans="1:2">
      <c r="A528" s="60"/>
      <c r="B528" s="60"/>
    </row>
    <row r="529" spans="1:2">
      <c r="A529" s="60"/>
      <c r="B529" s="60"/>
    </row>
    <row r="530" spans="1:2">
      <c r="A530" s="60"/>
      <c r="B530" s="60"/>
    </row>
    <row r="531" spans="1:2">
      <c r="A531" s="60"/>
      <c r="B531" s="60"/>
    </row>
    <row r="532" spans="1:2">
      <c r="A532" s="60"/>
      <c r="B532" s="60"/>
    </row>
    <row r="533" spans="1:2">
      <c r="A533" s="60"/>
      <c r="B533" s="60"/>
    </row>
    <row r="534" spans="1:2">
      <c r="A534" s="60"/>
      <c r="B534" s="60"/>
    </row>
    <row r="535" spans="1:2">
      <c r="A535" s="60"/>
      <c r="B535" s="60"/>
    </row>
    <row r="536" spans="1:2">
      <c r="A536" s="60"/>
      <c r="B536" s="60"/>
    </row>
    <row r="537" spans="1:2">
      <c r="A537" s="60"/>
      <c r="B537" s="60"/>
    </row>
    <row r="538" spans="1:2">
      <c r="A538" s="60"/>
      <c r="B538" s="60"/>
    </row>
    <row r="539" spans="1:2">
      <c r="A539" s="60"/>
      <c r="B539" s="60"/>
    </row>
    <row r="540" spans="1:2">
      <c r="A540" s="60"/>
      <c r="B540" s="60"/>
    </row>
    <row r="541" spans="1:2">
      <c r="A541" s="60"/>
      <c r="B541" s="60"/>
    </row>
    <row r="542" spans="1:2">
      <c r="A542" s="60"/>
      <c r="B542" s="60"/>
    </row>
    <row r="543" spans="1:2">
      <c r="A543" s="60"/>
      <c r="B543" s="60"/>
    </row>
    <row r="544" spans="1:2">
      <c r="A544" s="60"/>
      <c r="B544" s="60"/>
    </row>
    <row r="545" spans="1:2">
      <c r="A545" s="60"/>
      <c r="B545" s="60"/>
    </row>
    <row r="546" spans="1:2">
      <c r="A546" s="60"/>
      <c r="B546" s="60"/>
    </row>
    <row r="547" spans="1:2">
      <c r="A547" s="60"/>
      <c r="B547" s="60"/>
    </row>
    <row r="548" spans="1:2">
      <c r="A548" s="60"/>
      <c r="B548" s="60"/>
    </row>
    <row r="549" spans="1:2">
      <c r="A549" s="60"/>
      <c r="B549" s="60"/>
    </row>
    <row r="550" spans="1:2">
      <c r="A550" s="60"/>
      <c r="B550" s="60"/>
    </row>
    <row r="551" spans="1:2">
      <c r="A551" s="60"/>
      <c r="B551" s="60"/>
    </row>
    <row r="552" spans="1:2">
      <c r="A552" s="60"/>
      <c r="B552" s="60"/>
    </row>
    <row r="553" spans="1:2">
      <c r="A553" s="60"/>
      <c r="B553" s="60"/>
    </row>
    <row r="554" spans="1:2">
      <c r="A554" s="60"/>
      <c r="B554" s="60"/>
    </row>
    <row r="555" spans="1:2">
      <c r="A555" s="60"/>
      <c r="B555" s="60"/>
    </row>
    <row r="556" spans="1:2">
      <c r="A556" s="60"/>
      <c r="B556" s="60"/>
    </row>
    <row r="557" spans="1:2">
      <c r="A557" s="60"/>
      <c r="B557" s="60"/>
    </row>
    <row r="558" spans="1:2">
      <c r="A558" s="60"/>
      <c r="B558" s="60"/>
    </row>
    <row r="559" spans="1:2">
      <c r="A559" s="60"/>
      <c r="B559" s="60"/>
    </row>
    <row r="560" spans="1:2">
      <c r="A560" s="60"/>
      <c r="B560" s="60"/>
    </row>
    <row r="561" spans="1:2">
      <c r="A561" s="60"/>
      <c r="B561" s="60"/>
    </row>
    <row r="562" spans="1:2">
      <c r="A562" s="60"/>
      <c r="B562" s="60"/>
    </row>
    <row r="563" spans="1:2">
      <c r="A563" s="60"/>
      <c r="B563" s="60"/>
    </row>
    <row r="564" spans="1:2">
      <c r="A564" s="60"/>
      <c r="B564" s="60"/>
    </row>
    <row r="565" spans="1:2">
      <c r="A565" s="60"/>
      <c r="B565" s="60"/>
    </row>
    <row r="566" spans="1:2">
      <c r="A566" s="60"/>
      <c r="B566" s="60"/>
    </row>
    <row r="567" spans="1:2">
      <c r="A567" s="60"/>
      <c r="B567" s="60"/>
    </row>
    <row r="568" spans="1:2">
      <c r="A568" s="60"/>
      <c r="B568" s="60"/>
    </row>
    <row r="569" spans="1:2">
      <c r="A569" s="60"/>
      <c r="B569" s="60"/>
    </row>
    <row r="570" spans="1:2">
      <c r="A570" s="60"/>
      <c r="B570" s="60"/>
    </row>
    <row r="571" spans="1:2">
      <c r="A571" s="60"/>
      <c r="B571" s="60"/>
    </row>
    <row r="572" spans="1:2">
      <c r="A572" s="60"/>
      <c r="B572" s="60"/>
    </row>
    <row r="573" spans="1:2">
      <c r="A573" s="60"/>
      <c r="B573" s="60"/>
    </row>
    <row r="574" spans="1:2">
      <c r="A574" s="60"/>
      <c r="B574" s="60"/>
    </row>
    <row r="575" spans="1:2">
      <c r="A575" s="60"/>
      <c r="B575" s="60"/>
    </row>
    <row r="576" spans="1:2">
      <c r="A576" s="60"/>
      <c r="B576" s="60"/>
    </row>
    <row r="577" spans="1:2">
      <c r="A577" s="60"/>
      <c r="B577" s="60"/>
    </row>
    <row r="578" spans="1:2">
      <c r="A578" s="60"/>
      <c r="B578" s="60"/>
    </row>
    <row r="579" spans="1:2">
      <c r="A579" s="60"/>
      <c r="B579" s="60"/>
    </row>
    <row r="580" spans="1:2">
      <c r="A580" s="60"/>
      <c r="B580" s="60"/>
    </row>
    <row r="581" spans="1:2">
      <c r="A581" s="60"/>
      <c r="B581" s="60"/>
    </row>
    <row r="582" spans="1:2">
      <c r="A582" s="60"/>
      <c r="B582" s="60"/>
    </row>
    <row r="583" spans="1:2">
      <c r="A583" s="60"/>
      <c r="B583" s="60"/>
    </row>
    <row r="584" spans="1:2">
      <c r="A584" s="60"/>
      <c r="B584" s="60"/>
    </row>
    <row r="585" spans="1:2">
      <c r="A585" s="60"/>
      <c r="B585" s="60"/>
    </row>
    <row r="586" spans="1:2">
      <c r="A586" s="60"/>
      <c r="B586" s="60"/>
    </row>
    <row r="587" spans="1:2">
      <c r="A587" s="60"/>
      <c r="B587" s="60"/>
    </row>
    <row r="588" spans="1:2">
      <c r="A588" s="60"/>
      <c r="B588" s="60"/>
    </row>
    <row r="589" spans="1:2">
      <c r="A589" s="60"/>
      <c r="B589" s="60"/>
    </row>
    <row r="590" spans="1:2">
      <c r="A590" s="60"/>
      <c r="B590" s="60"/>
    </row>
    <row r="591" spans="1:2">
      <c r="A591" s="60"/>
      <c r="B591" s="60"/>
    </row>
    <row r="592" spans="1:2">
      <c r="A592" s="60"/>
      <c r="B592" s="60"/>
    </row>
    <row r="593" spans="1:2">
      <c r="A593" s="60"/>
      <c r="B593" s="60"/>
    </row>
    <row r="594" spans="1:2">
      <c r="A594" s="60"/>
      <c r="B594" s="60"/>
    </row>
    <row r="595" spans="1:2">
      <c r="A595" s="60"/>
      <c r="B595" s="60"/>
    </row>
    <row r="596" spans="1:2">
      <c r="A596" s="60"/>
      <c r="B596" s="60"/>
    </row>
    <row r="597" spans="1:2">
      <c r="A597" s="60"/>
      <c r="B597" s="60"/>
    </row>
    <row r="598" spans="1:2">
      <c r="A598" s="60"/>
      <c r="B598" s="60"/>
    </row>
    <row r="599" spans="1:2">
      <c r="A599" s="60"/>
      <c r="B599" s="60"/>
    </row>
    <row r="600" spans="1:2">
      <c r="A600" s="60"/>
      <c r="B600" s="60"/>
    </row>
    <row r="601" spans="1:2">
      <c r="A601" s="60"/>
      <c r="B601" s="60"/>
    </row>
    <row r="602" spans="1:2">
      <c r="A602" s="60"/>
      <c r="B602" s="60"/>
    </row>
    <row r="603" spans="1:2">
      <c r="A603" s="60"/>
      <c r="B603" s="60"/>
    </row>
    <row r="604" spans="1:2">
      <c r="A604" s="60"/>
      <c r="B604" s="60"/>
    </row>
    <row r="605" spans="1:2">
      <c r="A605" s="60"/>
      <c r="B605" s="60"/>
    </row>
    <row r="606" spans="1:2">
      <c r="A606" s="60"/>
      <c r="B606" s="60"/>
    </row>
    <row r="607" spans="1:2">
      <c r="A607" s="60"/>
      <c r="B607" s="60"/>
    </row>
    <row r="608" spans="1:2">
      <c r="A608" s="60"/>
      <c r="B608" s="60"/>
    </row>
    <row r="609" spans="1:2">
      <c r="A609" s="60"/>
      <c r="B609" s="60"/>
    </row>
    <row r="610" spans="1:2">
      <c r="A610" s="60"/>
      <c r="B610" s="60"/>
    </row>
    <row r="611" spans="1:2">
      <c r="A611" s="60"/>
      <c r="B611" s="60"/>
    </row>
    <row r="612" spans="1:2">
      <c r="A612" s="60"/>
      <c r="B612" s="60"/>
    </row>
    <row r="613" spans="1:2">
      <c r="A613" s="60"/>
      <c r="B613" s="60"/>
    </row>
    <row r="614" spans="1:2">
      <c r="A614" s="60"/>
      <c r="B614" s="60"/>
    </row>
    <row r="615" spans="1:2">
      <c r="A615" s="60"/>
      <c r="B615" s="60"/>
    </row>
    <row r="616" spans="1:2">
      <c r="A616" s="60"/>
      <c r="B616" s="60"/>
    </row>
    <row r="617" spans="1:2">
      <c r="A617" s="60"/>
      <c r="B617" s="60"/>
    </row>
    <row r="618" spans="1:2">
      <c r="A618" s="60"/>
      <c r="B618" s="60"/>
    </row>
    <row r="619" spans="1:2">
      <c r="A619" s="60"/>
      <c r="B619" s="60"/>
    </row>
    <row r="620" spans="1:2">
      <c r="A620" s="60"/>
      <c r="B620" s="60"/>
    </row>
    <row r="621" spans="1:2">
      <c r="A621" s="60"/>
      <c r="B621" s="60"/>
    </row>
    <row r="622" spans="1:2">
      <c r="A622" s="60"/>
      <c r="B622" s="60"/>
    </row>
    <row r="623" spans="1:2">
      <c r="A623" s="60"/>
      <c r="B623" s="60"/>
    </row>
    <row r="624" spans="1:2">
      <c r="A624" s="60"/>
      <c r="B624" s="60"/>
    </row>
    <row r="625" spans="1:2">
      <c r="A625" s="60"/>
      <c r="B625" s="60"/>
    </row>
    <row r="626" spans="1:2">
      <c r="A626" s="60"/>
      <c r="B626" s="60"/>
    </row>
    <row r="627" spans="1:2">
      <c r="A627" s="60"/>
      <c r="B627" s="60"/>
    </row>
    <row r="628" spans="1:2">
      <c r="A628" s="60"/>
      <c r="B628" s="60"/>
    </row>
    <row r="629" spans="1:2">
      <c r="A629" s="60"/>
      <c r="B629" s="60"/>
    </row>
    <row r="630" spans="1:2">
      <c r="A630" s="60"/>
      <c r="B630" s="60"/>
    </row>
    <row r="631" spans="1:2">
      <c r="A631" s="60"/>
      <c r="B631" s="60"/>
    </row>
    <row r="632" spans="1:2">
      <c r="A632" s="60"/>
      <c r="B632" s="60"/>
    </row>
    <row r="633" spans="1:2">
      <c r="A633" s="60"/>
      <c r="B633" s="60"/>
    </row>
    <row r="634" spans="1:2">
      <c r="A634" s="60"/>
      <c r="B634" s="60"/>
    </row>
    <row r="635" spans="1:2">
      <c r="A635" s="60"/>
      <c r="B635" s="60"/>
    </row>
    <row r="636" spans="1:2">
      <c r="A636" s="60"/>
      <c r="B636" s="60"/>
    </row>
    <row r="637" spans="1:2">
      <c r="A637" s="60"/>
      <c r="B637" s="60"/>
    </row>
    <row r="638" spans="1:2">
      <c r="A638" s="60"/>
      <c r="B638" s="60"/>
    </row>
    <row r="639" spans="1:2">
      <c r="A639" s="60"/>
      <c r="B639" s="60"/>
    </row>
    <row r="640" spans="1:2">
      <c r="A640" s="60"/>
      <c r="B640" s="60"/>
    </row>
    <row r="641" spans="1:2">
      <c r="A641" s="60"/>
      <c r="B641" s="60"/>
    </row>
    <row r="642" spans="1:2">
      <c r="A642" s="60"/>
      <c r="B642" s="60"/>
    </row>
    <row r="643" spans="1:2">
      <c r="A643" s="60"/>
      <c r="B643" s="60"/>
    </row>
    <row r="644" spans="1:2">
      <c r="A644" s="60"/>
      <c r="B644" s="60"/>
    </row>
    <row r="645" spans="1:2">
      <c r="A645" s="60"/>
      <c r="B645" s="60"/>
    </row>
    <row r="646" spans="1:2">
      <c r="A646" s="60"/>
      <c r="B646" s="60"/>
    </row>
    <row r="647" spans="1:2">
      <c r="A647" s="60"/>
      <c r="B647" s="60"/>
    </row>
    <row r="648" spans="1:2">
      <c r="A648" s="60"/>
      <c r="B648" s="60"/>
    </row>
    <row r="649" spans="1:2">
      <c r="A649" s="60"/>
      <c r="B649" s="60"/>
    </row>
    <row r="650" spans="1:2">
      <c r="A650" s="60"/>
      <c r="B650" s="60"/>
    </row>
    <row r="651" spans="1:2">
      <c r="A651" s="60"/>
      <c r="B651" s="60"/>
    </row>
    <row r="652" spans="1:2">
      <c r="A652" s="60"/>
      <c r="B652" s="60"/>
    </row>
    <row r="653" spans="1:2">
      <c r="A653" s="60"/>
      <c r="B653" s="60"/>
    </row>
    <row r="654" spans="1:2">
      <c r="A654" s="60"/>
      <c r="B654" s="60"/>
    </row>
    <row r="655" spans="1:2">
      <c r="A655" s="60"/>
      <c r="B655" s="60"/>
    </row>
    <row r="656" spans="1:2">
      <c r="A656" s="60"/>
      <c r="B656" s="60"/>
    </row>
    <row r="657" spans="1:2">
      <c r="A657" s="60"/>
      <c r="B657" s="60"/>
    </row>
    <row r="658" spans="1:2">
      <c r="A658" s="60"/>
      <c r="B658" s="60"/>
    </row>
    <row r="659" spans="1:2">
      <c r="A659" s="60"/>
      <c r="B659" s="60"/>
    </row>
    <row r="660" spans="1:2">
      <c r="A660" s="60"/>
      <c r="B660" s="60"/>
    </row>
    <row r="661" spans="1:2">
      <c r="A661" s="60"/>
      <c r="B661" s="60"/>
    </row>
    <row r="662" spans="1:2">
      <c r="A662" s="60"/>
      <c r="B662" s="60"/>
    </row>
    <row r="663" spans="1:2">
      <c r="A663" s="60"/>
      <c r="B663" s="60"/>
    </row>
    <row r="664" spans="1:2">
      <c r="A664" s="60"/>
      <c r="B664" s="60"/>
    </row>
    <row r="665" spans="1:2">
      <c r="A665" s="60"/>
      <c r="B665" s="60"/>
    </row>
    <row r="666" spans="1:2">
      <c r="A666" s="60"/>
      <c r="B666" s="60"/>
    </row>
    <row r="667" spans="1:2">
      <c r="A667" s="60"/>
      <c r="B667" s="60"/>
    </row>
    <row r="668" spans="1:2">
      <c r="A668" s="60"/>
      <c r="B668" s="60"/>
    </row>
    <row r="669" spans="1:2">
      <c r="A669" s="60"/>
      <c r="B669" s="60"/>
    </row>
    <row r="670" spans="1:2">
      <c r="A670" s="60"/>
      <c r="B670" s="60"/>
    </row>
    <row r="671" spans="1:2">
      <c r="A671" s="60"/>
      <c r="B671" s="60"/>
    </row>
    <row r="672" spans="1:2">
      <c r="A672" s="60"/>
      <c r="B672" s="60"/>
    </row>
    <row r="673" spans="1:2">
      <c r="A673" s="60"/>
      <c r="B673" s="60"/>
    </row>
    <row r="674" spans="1:2">
      <c r="A674" s="60"/>
      <c r="B674" s="60"/>
    </row>
    <row r="675" spans="1:2">
      <c r="A675" s="60"/>
      <c r="B675" s="60"/>
    </row>
    <row r="676" spans="1:2">
      <c r="A676" s="60"/>
      <c r="B676" s="60"/>
    </row>
    <row r="677" spans="1:2">
      <c r="A677" s="60"/>
      <c r="B677" s="60"/>
    </row>
    <row r="678" spans="1:2">
      <c r="A678" s="60"/>
      <c r="B678" s="60"/>
    </row>
    <row r="679" spans="1:2">
      <c r="A679" s="60"/>
      <c r="B679" s="60"/>
    </row>
    <row r="680" spans="1:2">
      <c r="A680" s="60"/>
      <c r="B680" s="60"/>
    </row>
    <row r="681" spans="1:2">
      <c r="A681" s="60"/>
      <c r="B681" s="60"/>
    </row>
    <row r="682" spans="1:2">
      <c r="A682" s="60"/>
      <c r="B682" s="60"/>
    </row>
    <row r="683" spans="1:2">
      <c r="A683" s="60"/>
      <c r="B683" s="60"/>
    </row>
    <row r="684" spans="1:2">
      <c r="A684" s="60"/>
      <c r="B684" s="60"/>
    </row>
    <row r="685" spans="1:2">
      <c r="A685" s="60"/>
      <c r="B685" s="60"/>
    </row>
    <row r="686" spans="1:2">
      <c r="A686" s="60"/>
      <c r="B686" s="60"/>
    </row>
    <row r="687" spans="1:2">
      <c r="A687" s="60"/>
      <c r="B687" s="60"/>
    </row>
    <row r="688" spans="1:2">
      <c r="A688" s="60"/>
      <c r="B688" s="60"/>
    </row>
    <row r="689" spans="1:2">
      <c r="A689" s="60"/>
      <c r="B689" s="60"/>
    </row>
    <row r="690" spans="1:2">
      <c r="A690" s="60"/>
      <c r="B690" s="60"/>
    </row>
    <row r="691" spans="1:2">
      <c r="A691" s="60"/>
      <c r="B691" s="60"/>
    </row>
    <row r="692" spans="1:2">
      <c r="A692" s="60"/>
      <c r="B692" s="60"/>
    </row>
    <row r="693" spans="1:2">
      <c r="A693" s="60"/>
      <c r="B693" s="60"/>
    </row>
    <row r="694" spans="1:2">
      <c r="A694" s="60"/>
      <c r="B694" s="60"/>
    </row>
    <row r="695" spans="1:2">
      <c r="A695" s="60"/>
      <c r="B695" s="60"/>
    </row>
    <row r="696" spans="1:2">
      <c r="A696" s="60"/>
      <c r="B696" s="60"/>
    </row>
    <row r="697" spans="1:2">
      <c r="A697" s="60"/>
      <c r="B697" s="60"/>
    </row>
    <row r="698" spans="1:2">
      <c r="A698" s="60"/>
      <c r="B698" s="60"/>
    </row>
  </sheetData>
  <mergeCells count="3">
    <mergeCell ref="A3:H3"/>
    <mergeCell ref="A12:B12"/>
    <mergeCell ref="D12:E12"/>
  </mergeCells>
  <pageMargins left="0.7" right="0.7" top="0.75" bottom="0.75" header="0.3" footer="0.3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9" r:id="rId3" name="Button 5">
              <controlPr defaultSize="0" print="0" autoFill="0" autoPict="0" macro="[0]!Botón5_AlHacerClic">
                <anchor moveWithCells="1" sizeWithCells="1">
                  <from>
                    <xdr:col>7</xdr:col>
                    <xdr:colOff>647700</xdr:colOff>
                    <xdr:row>5</xdr:row>
                    <xdr:rowOff>38100</xdr:rowOff>
                  </from>
                  <to>
                    <xdr:col>9</xdr:col>
                    <xdr:colOff>685800</xdr:colOff>
                    <xdr:row>7</xdr:row>
                    <xdr:rowOff>76200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 enableFormatConditionsCalculation="0">
    <tabColor rgb="FF00FFFF"/>
  </sheetPr>
  <dimension ref="A1:O698"/>
  <sheetViews>
    <sheetView workbookViewId="0">
      <selection activeCell="I12" sqref="I12"/>
    </sheetView>
  </sheetViews>
  <sheetFormatPr baseColWidth="10" defaultRowHeight="14" x14ac:dyDescent="0"/>
  <cols>
    <col min="1" max="1" width="6.5" customWidth="1"/>
    <col min="2" max="2" width="8.83203125" customWidth="1"/>
    <col min="5" max="5" width="9" customWidth="1"/>
  </cols>
  <sheetData>
    <row r="1" spans="1:15">
      <c r="M1">
        <v>5</v>
      </c>
      <c r="N1">
        <v>5</v>
      </c>
      <c r="O1">
        <v>5</v>
      </c>
    </row>
    <row r="2" spans="1:15" ht="15" thickBot="1"/>
    <row r="3" spans="1:15" ht="17" thickTop="1" thickBot="1">
      <c r="A3" s="75" t="s">
        <v>25</v>
      </c>
      <c r="B3" s="76"/>
      <c r="C3" s="76"/>
      <c r="D3" s="76"/>
      <c r="E3" s="76"/>
      <c r="F3" s="76"/>
      <c r="G3" s="76"/>
      <c r="H3" s="77"/>
    </row>
    <row r="4" spans="1:15" ht="15" thickTop="1"/>
    <row r="5" spans="1:15">
      <c r="A5" s="3" t="s">
        <v>0</v>
      </c>
      <c r="B5" s="56">
        <v>180</v>
      </c>
      <c r="C5" s="32"/>
    </row>
    <row r="6" spans="1:15">
      <c r="A6" s="3" t="s">
        <v>1</v>
      </c>
      <c r="B6" s="56">
        <f>60/2.96</f>
        <v>20.27027027027027</v>
      </c>
      <c r="C6" s="32"/>
    </row>
    <row r="7" spans="1:15" ht="15">
      <c r="A7" s="4" t="s">
        <v>18</v>
      </c>
      <c r="B7" s="57">
        <f>B5/B6</f>
        <v>8.8800000000000008</v>
      </c>
      <c r="C7" s="33"/>
      <c r="E7" s="2">
        <f>B7*100</f>
        <v>888.00000000000011</v>
      </c>
      <c r="F7" t="s">
        <v>10</v>
      </c>
    </row>
    <row r="8" spans="1:15">
      <c r="A8" s="5" t="s">
        <v>3</v>
      </c>
      <c r="B8" s="58">
        <v>3</v>
      </c>
      <c r="C8" s="32"/>
    </row>
    <row r="9" spans="1:15">
      <c r="A9" s="49" t="s">
        <v>1</v>
      </c>
      <c r="B9" s="61">
        <v>50</v>
      </c>
      <c r="C9" s="33"/>
    </row>
    <row r="10" spans="1:15">
      <c r="A10" s="6"/>
      <c r="B10" s="6"/>
      <c r="C10" s="6"/>
      <c r="E10" s="6"/>
      <c r="F10" s="6"/>
    </row>
    <row r="11" spans="1:15">
      <c r="A11" s="6"/>
      <c r="B11" s="6"/>
      <c r="C11" s="6"/>
      <c r="E11" s="6"/>
      <c r="F11" s="6"/>
    </row>
    <row r="12" spans="1:15" ht="18">
      <c r="A12" s="106" t="s">
        <v>26</v>
      </c>
      <c r="B12" s="106"/>
      <c r="C12" s="67"/>
      <c r="D12" s="106" t="s">
        <v>15</v>
      </c>
      <c r="E12" s="106"/>
      <c r="F12" s="6"/>
      <c r="G12" s="68" t="s">
        <v>7</v>
      </c>
      <c r="H12" s="68" t="s">
        <v>9</v>
      </c>
      <c r="I12" s="68" t="s">
        <v>6</v>
      </c>
      <c r="J12" s="68" t="s">
        <v>8</v>
      </c>
    </row>
    <row r="13" spans="1:15">
      <c r="A13" s="59" t="s">
        <v>27</v>
      </c>
      <c r="B13" s="65">
        <v>443.99999999999977</v>
      </c>
      <c r="C13" s="59"/>
      <c r="D13" t="s">
        <v>77</v>
      </c>
      <c r="E13" s="6">
        <v>1.4203845904447603E-89</v>
      </c>
      <c r="F13" s="6"/>
      <c r="G13" s="70">
        <v>46.662162162162161</v>
      </c>
      <c r="H13" s="69">
        <v>0.76733333333333154</v>
      </c>
      <c r="I13" s="69">
        <v>49.662162162162161</v>
      </c>
      <c r="J13" s="69">
        <v>0.81666666666666476</v>
      </c>
    </row>
    <row r="14" spans="1:15">
      <c r="A14" s="59" t="s">
        <v>28</v>
      </c>
      <c r="B14" s="65">
        <v>96596.640000000029</v>
      </c>
      <c r="C14" s="59"/>
      <c r="D14" t="s">
        <v>27</v>
      </c>
      <c r="E14">
        <v>6.306507581574733E-87</v>
      </c>
    </row>
    <row r="15" spans="1:15">
      <c r="A15" s="59" t="s">
        <v>29</v>
      </c>
      <c r="B15" s="65">
        <v>13724450.611199997</v>
      </c>
      <c r="C15" s="65"/>
      <c r="D15" t="s">
        <v>28</v>
      </c>
      <c r="E15">
        <v>1.3720437894474001E-84</v>
      </c>
    </row>
    <row r="16" spans="1:15">
      <c r="A16" s="59" t="s">
        <v>30</v>
      </c>
      <c r="B16" s="65">
        <v>1909345569.0301442</v>
      </c>
      <c r="C16" s="65"/>
      <c r="D16" t="s">
        <v>29</v>
      </c>
      <c r="E16">
        <v>1.949399816046865E-82</v>
      </c>
    </row>
    <row r="17" spans="1:5">
      <c r="A17" s="59" t="s">
        <v>31</v>
      </c>
      <c r="B17" s="65">
        <v>259976492679.14444</v>
      </c>
      <c r="C17" s="65"/>
      <c r="D17" t="s">
        <v>30</v>
      </c>
      <c r="E17">
        <v>2.7120050240843991E-80</v>
      </c>
    </row>
    <row r="18" spans="1:5">
      <c r="A18" s="59" t="s">
        <v>32</v>
      </c>
      <c r="B18" s="65">
        <v>34628868824862.035</v>
      </c>
      <c r="C18" s="65"/>
      <c r="D18" t="s">
        <v>31</v>
      </c>
      <c r="E18">
        <v>3.6926660407933182E-78</v>
      </c>
    </row>
    <row r="19" spans="1:5">
      <c r="A19" s="59" t="s">
        <v>33</v>
      </c>
      <c r="B19" s="65">
        <v>4510063875750033</v>
      </c>
      <c r="C19" s="65"/>
      <c r="D19" t="s">
        <v>32</v>
      </c>
      <c r="E19">
        <v>4.9186311663366992E-76</v>
      </c>
    </row>
    <row r="20" spans="1:5">
      <c r="A20" s="59" t="s">
        <v>34</v>
      </c>
      <c r="B20" s="65">
        <v>5.7404093010546419E+17</v>
      </c>
      <c r="C20" s="65"/>
      <c r="D20" t="s">
        <v>33</v>
      </c>
      <c r="E20">
        <v>6.4060252310369188E-74</v>
      </c>
    </row>
    <row r="21" spans="1:5">
      <c r="A21" s="59" t="s">
        <v>35</v>
      </c>
      <c r="B21" s="65">
        <v>7.1364768430711349E+19</v>
      </c>
      <c r="C21" s="65"/>
      <c r="D21" t="s">
        <v>34</v>
      </c>
      <c r="E21">
        <v>8.1535889140637905E-72</v>
      </c>
    </row>
    <row r="22" spans="1:5">
      <c r="A22" s="59" t="s">
        <v>36</v>
      </c>
      <c r="B22" s="65">
        <v>8.6608282967511254E+21</v>
      </c>
      <c r="C22" s="65"/>
      <c r="D22" t="s">
        <v>35</v>
      </c>
      <c r="E22">
        <v>1.013654173796411E-69</v>
      </c>
    </row>
    <row r="23" spans="1:5">
      <c r="A23" s="59" t="s">
        <v>37</v>
      </c>
      <c r="B23" s="65">
        <v>1.0254420703353336E+24</v>
      </c>
      <c r="C23" s="65"/>
      <c r="D23" t="s">
        <v>36</v>
      </c>
      <c r="E23">
        <v>1.2301707053193238E-67</v>
      </c>
    </row>
    <row r="24" spans="1:5">
      <c r="A24" s="59" t="s">
        <v>38</v>
      </c>
      <c r="B24" s="65">
        <v>1.1837703259951094E+26</v>
      </c>
      <c r="C24" s="65"/>
      <c r="D24" t="s">
        <v>37</v>
      </c>
      <c r="E24">
        <v>1.4565221150980799E-65</v>
      </c>
    </row>
    <row r="25" spans="1:5">
      <c r="A25" s="59" t="s">
        <v>39</v>
      </c>
      <c r="B25" s="65">
        <v>1.331504862679299E+28</v>
      </c>
      <c r="C25" s="65"/>
      <c r="D25" t="s">
        <v>38</v>
      </c>
      <c r="E25">
        <v>1.6814091296692239E-63</v>
      </c>
    </row>
    <row r="26" spans="1:5">
      <c r="A26" s="59" t="s">
        <v>40</v>
      </c>
      <c r="B26" s="65">
        <v>1.4582641256063682E+30</v>
      </c>
      <c r="C26" s="65"/>
      <c r="D26" t="s">
        <v>39</v>
      </c>
      <c r="E26">
        <v>1.8912489890519428E-61</v>
      </c>
    </row>
    <row r="27" spans="1:5">
      <c r="A27" s="59" t="s">
        <v>41</v>
      </c>
      <c r="B27" s="65">
        <v>1.5539262522461464E+32</v>
      </c>
      <c r="C27" s="65"/>
      <c r="D27" t="s">
        <v>40</v>
      </c>
      <c r="E27">
        <v>2.0712958928096876E-59</v>
      </c>
    </row>
    <row r="28" spans="1:5">
      <c r="A28" s="59" t="s">
        <v>42</v>
      </c>
      <c r="B28" s="65">
        <v>1.6098675973270079E+34</v>
      </c>
      <c r="C28" s="65"/>
      <c r="D28" t="s">
        <v>41</v>
      </c>
      <c r="E28">
        <v>2.2071729033780041E-57</v>
      </c>
    </row>
    <row r="29" spans="1:5">
      <c r="A29" s="59" t="s">
        <v>43</v>
      </c>
      <c r="B29" s="65">
        <v>1.6201707499499002E+36</v>
      </c>
      <c r="C29" s="65"/>
      <c r="D29" t="s">
        <v>42</v>
      </c>
      <c r="E29">
        <v>2.2866311278996126E-55</v>
      </c>
    </row>
    <row r="30" spans="1:5">
      <c r="A30" s="59" t="s">
        <v>44</v>
      </c>
      <c r="B30" s="65">
        <v>1.5825827885510629E+38</v>
      </c>
      <c r="C30" s="65"/>
      <c r="D30" t="s">
        <v>43</v>
      </c>
      <c r="E30">
        <v>2.3012655671181692E-53</v>
      </c>
    </row>
    <row r="31" spans="1:5">
      <c r="A31" s="59" t="s">
        <v>45</v>
      </c>
      <c r="B31" s="65">
        <v>1.499022417315567E+40</v>
      </c>
      <c r="C31" s="65"/>
      <c r="D31" t="s">
        <v>44</v>
      </c>
      <c r="E31">
        <v>2.2478762059610282E-51</v>
      </c>
    </row>
    <row r="32" spans="1:5">
      <c r="A32" s="59" t="s">
        <v>46</v>
      </c>
      <c r="B32" s="65">
        <v>1.3755029701287642E+42</v>
      </c>
      <c r="C32" s="65"/>
      <c r="D32" t="s">
        <v>45</v>
      </c>
      <c r="E32">
        <v>2.1291883422862863E-49</v>
      </c>
    </row>
    <row r="33" spans="1:5">
      <c r="A33" s="59" t="s">
        <v>47</v>
      </c>
      <c r="B33" s="65">
        <v>1.2214466374743432E+44</v>
      </c>
      <c r="C33" s="65"/>
      <c r="D33" t="s">
        <v>46</v>
      </c>
      <c r="E33">
        <v>1.9537432228818961E-47</v>
      </c>
    </row>
    <row r="34" spans="1:5">
      <c r="A34" s="59" t="s">
        <v>48</v>
      </c>
      <c r="B34" s="65">
        <v>1.0484897936079763E+46</v>
      </c>
      <c r="C34" s="65"/>
      <c r="D34" t="s">
        <v>47</v>
      </c>
      <c r="E34">
        <v>1.7349239819191247E-45</v>
      </c>
    </row>
    <row r="35" spans="1:5">
      <c r="A35" s="59" t="s">
        <v>49</v>
      </c>
      <c r="B35" s="65">
        <v>8.6898834094229065E+47</v>
      </c>
      <c r="C35" s="65"/>
      <c r="D35" t="s">
        <v>48</v>
      </c>
      <c r="E35">
        <v>1.4892587460793767E-43</v>
      </c>
    </row>
    <row r="36" spans="1:5">
      <c r="A36" s="59" t="s">
        <v>50</v>
      </c>
      <c r="B36" s="65">
        <v>6.9449548208107867E+49</v>
      </c>
      <c r="C36" s="65"/>
      <c r="D36" t="s">
        <v>49</v>
      </c>
      <c r="E36">
        <v>1.2342976487505873E-41</v>
      </c>
    </row>
    <row r="37" spans="1:5">
      <c r="A37" s="59" t="s">
        <v>51</v>
      </c>
      <c r="B37" s="65">
        <v>5.3448372300959832E+51</v>
      </c>
      <c r="C37" s="65"/>
      <c r="D37" t="s">
        <v>50</v>
      </c>
      <c r="E37">
        <v>9.8645068088146938E-40</v>
      </c>
    </row>
    <row r="38" spans="1:5">
      <c r="A38" s="59" t="s">
        <v>52</v>
      </c>
      <c r="B38" s="65">
        <v>3.9551795502710279E+53</v>
      </c>
      <c r="C38" s="65"/>
      <c r="D38" t="s">
        <v>51</v>
      </c>
      <c r="E38">
        <v>7.5917244400637903E-38</v>
      </c>
    </row>
    <row r="39" spans="1:5">
      <c r="A39" s="59" t="s">
        <v>53</v>
      </c>
      <c r="B39" s="65">
        <v>2.8097595525125381E+55</v>
      </c>
      <c r="C39" s="65"/>
      <c r="D39" t="s">
        <v>52</v>
      </c>
      <c r="E39">
        <v>5.6178760856472055E-36</v>
      </c>
    </row>
    <row r="40" spans="1:5">
      <c r="A40" s="59" t="s">
        <v>54</v>
      </c>
      <c r="B40" s="65">
        <v>1.9128843033505368E+57</v>
      </c>
      <c r="C40" s="65"/>
      <c r="D40" t="s">
        <v>53</v>
      </c>
      <c r="E40">
        <v>3.9909391712437749E-34</v>
      </c>
    </row>
    <row r="41" spans="1:5">
      <c r="A41" s="59" t="s">
        <v>55</v>
      </c>
      <c r="B41" s="65">
        <v>1.2456702583418696E+59</v>
      </c>
      <c r="C41" s="65"/>
      <c r="D41" t="s">
        <v>54</v>
      </c>
      <c r="E41">
        <v>2.7170313877827628E-32</v>
      </c>
    </row>
    <row r="42" spans="1:5">
      <c r="A42" s="59" t="s">
        <v>56</v>
      </c>
      <c r="B42" s="65">
        <v>7.7430863258530607E+60</v>
      </c>
      <c r="C42" s="65"/>
      <c r="D42" t="s">
        <v>55</v>
      </c>
      <c r="E42">
        <v>1.7693308397241352E-30</v>
      </c>
    </row>
    <row r="43" spans="1:5">
      <c r="A43" s="59" t="s">
        <v>57</v>
      </c>
      <c r="B43" s="65">
        <v>4.5839071049050114E+62</v>
      </c>
      <c r="C43" s="65"/>
      <c r="D43" t="s">
        <v>56</v>
      </c>
      <c r="E43">
        <v>1.0998160499725224E-28</v>
      </c>
    </row>
    <row r="44" spans="1:5">
      <c r="A44" s="59" t="s">
        <v>58</v>
      </c>
      <c r="B44" s="65">
        <v>2.5779893557985794E+64</v>
      </c>
      <c r="C44" s="65"/>
      <c r="D44" t="s">
        <v>57</v>
      </c>
      <c r="E44">
        <v>6.5109110158373322E-27</v>
      </c>
    </row>
    <row r="45" spans="1:5">
      <c r="A45" s="59" t="s">
        <v>59</v>
      </c>
      <c r="B45" s="65">
        <v>1.3735527287694832E+66</v>
      </c>
      <c r="C45" s="65"/>
      <c r="D45" t="s">
        <v>58</v>
      </c>
      <c r="E45">
        <v>3.6617363553069167E-25</v>
      </c>
    </row>
    <row r="46" spans="1:5">
      <c r="A46" s="59" t="s">
        <v>60</v>
      </c>
      <c r="B46" s="65">
        <v>6.9117173311680399E+67</v>
      </c>
      <c r="C46" s="65"/>
      <c r="D46" t="s">
        <v>59</v>
      </c>
      <c r="E46">
        <v>1.9509731301075255E-23</v>
      </c>
    </row>
    <row r="47" spans="1:5">
      <c r="A47" s="59" t="s">
        <v>61</v>
      </c>
      <c r="B47" s="65">
        <v>3.2733893280411843E+69</v>
      </c>
      <c r="C47" s="65"/>
      <c r="D47" t="s">
        <v>60</v>
      </c>
      <c r="E47">
        <v>9.8172967907010681E-22</v>
      </c>
    </row>
    <row r="48" spans="1:5">
      <c r="A48" s="59" t="s">
        <v>62</v>
      </c>
      <c r="B48" s="65">
        <v>1.453384861650286E+71</v>
      </c>
      <c r="C48" s="65"/>
      <c r="D48" t="s">
        <v>61</v>
      </c>
      <c r="E48">
        <v>4.6494717600760268E-20</v>
      </c>
    </row>
    <row r="49" spans="1:5">
      <c r="A49" s="59" t="s">
        <v>63</v>
      </c>
      <c r="B49" s="65">
        <v>6.0228268666787858E+72</v>
      </c>
      <c r="C49" s="65"/>
      <c r="D49" t="s">
        <v>62</v>
      </c>
      <c r="E49">
        <v>2.0643654614737562E-18</v>
      </c>
    </row>
    <row r="50" spans="1:5">
      <c r="A50" s="59" t="s">
        <v>64</v>
      </c>
      <c r="B50" s="65">
        <v>2.317583778297997E+74</v>
      </c>
      <c r="C50" s="65"/>
      <c r="D50" t="s">
        <v>63</v>
      </c>
      <c r="E50">
        <v>8.5547304723472461E-17</v>
      </c>
    </row>
    <row r="51" spans="1:5">
      <c r="A51" s="59" t="s">
        <v>65</v>
      </c>
      <c r="B51" s="65">
        <v>8.2320575805144841E+75</v>
      </c>
      <c r="C51" s="65"/>
      <c r="D51" t="s">
        <v>64</v>
      </c>
      <c r="E51">
        <v>3.2918602857592208E-15</v>
      </c>
    </row>
    <row r="52" spans="1:5">
      <c r="A52" s="59" t="s">
        <v>66</v>
      </c>
      <c r="B52" s="65">
        <v>2.680357948215516E+77</v>
      </c>
      <c r="C52" s="65"/>
      <c r="D52" t="s">
        <v>65</v>
      </c>
      <c r="E52">
        <v>1.1692687735016749E-13</v>
      </c>
    </row>
    <row r="53" spans="1:5">
      <c r="A53" s="59" t="s">
        <v>67</v>
      </c>
      <c r="B53" s="65">
        <v>7.9338595267179296E+78</v>
      </c>
      <c r="C53" s="65"/>
      <c r="D53" t="s">
        <v>66</v>
      </c>
      <c r="E53">
        <v>3.8071391265214539E-12</v>
      </c>
    </row>
    <row r="54" spans="1:5">
      <c r="A54" s="59" t="s">
        <v>68</v>
      </c>
      <c r="B54" s="65">
        <v>2.1135801779176567E+80</v>
      </c>
      <c r="C54" s="65"/>
      <c r="D54" t="s">
        <v>67</v>
      </c>
      <c r="E54">
        <v>1.1269131814503507E-10</v>
      </c>
    </row>
    <row r="55" spans="1:5">
      <c r="A55" s="59" t="s">
        <v>69</v>
      </c>
      <c r="B55" s="65">
        <v>5.0049578613090113E+81</v>
      </c>
      <c r="C55" s="65"/>
      <c r="D55" t="s">
        <v>68</v>
      </c>
      <c r="E55">
        <v>3.0020967153837346E-9</v>
      </c>
    </row>
    <row r="56" spans="1:5">
      <c r="A56" s="59" t="s">
        <v>70</v>
      </c>
      <c r="B56" s="65">
        <v>1.0370272688632272E+83</v>
      </c>
      <c r="C56" s="65"/>
      <c r="D56" t="s">
        <v>69</v>
      </c>
      <c r="E56">
        <v>7.1089650220286837E-8</v>
      </c>
    </row>
    <row r="57" spans="1:5">
      <c r="A57" s="59" t="s">
        <v>71</v>
      </c>
      <c r="B57" s="65">
        <v>1.8417604295010916E+84</v>
      </c>
      <c r="C57" s="65"/>
      <c r="D57" t="s">
        <v>70</v>
      </c>
      <c r="E57">
        <v>1.4729775525643433E-6</v>
      </c>
    </row>
    <row r="58" spans="1:5">
      <c r="A58" s="59" t="s">
        <v>72</v>
      </c>
      <c r="B58" s="65">
        <v>2.725805435661616E+85</v>
      </c>
      <c r="C58" s="65"/>
      <c r="D58" t="s">
        <v>71</v>
      </c>
      <c r="E58">
        <v>2.6160081333542738E-5</v>
      </c>
    </row>
    <row r="59" spans="1:5">
      <c r="A59" s="59" t="s">
        <v>73</v>
      </c>
      <c r="B59" s="65">
        <v>3.2273536358233533E+86</v>
      </c>
      <c r="C59" s="65"/>
      <c r="D59" t="s">
        <v>72</v>
      </c>
      <c r="E59">
        <v>3.871692037364326E-4</v>
      </c>
    </row>
    <row r="60" spans="1:5">
      <c r="A60" s="59" t="s">
        <v>74</v>
      </c>
      <c r="B60" s="65">
        <v>2.8658900286111377E+87</v>
      </c>
      <c r="C60" s="65"/>
      <c r="D60" t="s">
        <v>73</v>
      </c>
      <c r="E60">
        <v>4.5840833722393618E-3</v>
      </c>
    </row>
    <row r="61" spans="1:5">
      <c r="A61" s="59" t="s">
        <v>75</v>
      </c>
      <c r="B61" s="65">
        <v>1.6966068969377939E+88</v>
      </c>
      <c r="C61" s="65"/>
      <c r="D61" t="s">
        <v>74</v>
      </c>
      <c r="E61">
        <v>4.0706660345485535E-2</v>
      </c>
    </row>
    <row r="62" spans="1:5">
      <c r="A62" s="59" t="s">
        <v>76</v>
      </c>
      <c r="B62" s="65">
        <v>5.0219564149358711E+88</v>
      </c>
      <c r="C62" s="65"/>
      <c r="D62" t="s">
        <v>75</v>
      </c>
      <c r="E62">
        <v>0.24098342924527441</v>
      </c>
    </row>
    <row r="63" spans="1:5">
      <c r="A63" s="59"/>
      <c r="B63" s="59"/>
      <c r="C63" s="59"/>
      <c r="D63" t="s">
        <v>76</v>
      </c>
      <c r="E63">
        <v>0.71331095056601246</v>
      </c>
    </row>
    <row r="64" spans="1:5">
      <c r="A64" s="59"/>
      <c r="B64" s="59"/>
      <c r="C64" s="59"/>
    </row>
    <row r="65" spans="1:3">
      <c r="A65" s="59"/>
      <c r="B65" s="59"/>
      <c r="C65" s="59"/>
    </row>
    <row r="66" spans="1:3">
      <c r="A66" s="59"/>
      <c r="B66" s="59"/>
      <c r="C66" s="59"/>
    </row>
    <row r="67" spans="1:3">
      <c r="A67" s="59"/>
      <c r="B67" s="59"/>
      <c r="C67" s="59"/>
    </row>
    <row r="68" spans="1:3">
      <c r="A68" s="59"/>
      <c r="B68" s="59"/>
      <c r="C68" s="59"/>
    </row>
    <row r="69" spans="1:3">
      <c r="A69" s="59"/>
      <c r="B69" s="59"/>
      <c r="C69" s="59"/>
    </row>
    <row r="70" spans="1:3">
      <c r="A70" s="59"/>
      <c r="B70" s="59"/>
      <c r="C70" s="59"/>
    </row>
    <row r="71" spans="1:3">
      <c r="A71" s="59"/>
      <c r="B71" s="59"/>
      <c r="C71" s="59"/>
    </row>
    <row r="72" spans="1:3">
      <c r="A72" s="59"/>
      <c r="B72" s="59"/>
      <c r="C72" s="59"/>
    </row>
    <row r="73" spans="1:3">
      <c r="A73" s="59"/>
      <c r="B73" s="59"/>
      <c r="C73" s="59"/>
    </row>
    <row r="74" spans="1:3">
      <c r="A74" s="59"/>
      <c r="B74" s="59"/>
      <c r="C74" s="59"/>
    </row>
    <row r="75" spans="1:3">
      <c r="A75" s="59"/>
      <c r="B75" s="59"/>
      <c r="C75" s="59"/>
    </row>
    <row r="76" spans="1:3">
      <c r="A76" s="59"/>
      <c r="B76" s="59"/>
      <c r="C76" s="59"/>
    </row>
    <row r="77" spans="1:3">
      <c r="A77" s="59"/>
      <c r="B77" s="59"/>
      <c r="C77" s="59"/>
    </row>
    <row r="78" spans="1:3">
      <c r="A78" s="59"/>
      <c r="B78" s="59"/>
      <c r="C78" s="59"/>
    </row>
    <row r="79" spans="1:3">
      <c r="A79" s="59"/>
      <c r="B79" s="59"/>
      <c r="C79" s="59"/>
    </row>
    <row r="80" spans="1:3">
      <c r="A80" s="59"/>
      <c r="B80" s="59"/>
      <c r="C80" s="59"/>
    </row>
    <row r="81" spans="1:3">
      <c r="A81" s="59"/>
      <c r="B81" s="59"/>
      <c r="C81" s="59"/>
    </row>
    <row r="82" spans="1:3">
      <c r="A82" s="59"/>
      <c r="B82" s="59"/>
      <c r="C82" s="59"/>
    </row>
    <row r="83" spans="1:3">
      <c r="A83" s="59"/>
      <c r="B83" s="59"/>
      <c r="C83" s="59"/>
    </row>
    <row r="84" spans="1:3">
      <c r="A84" s="59"/>
      <c r="B84" s="59"/>
      <c r="C84" s="59"/>
    </row>
    <row r="85" spans="1:3">
      <c r="A85" s="59"/>
      <c r="B85" s="59"/>
      <c r="C85" s="59"/>
    </row>
    <row r="86" spans="1:3">
      <c r="A86" s="59"/>
      <c r="B86" s="59"/>
      <c r="C86" s="59"/>
    </row>
    <row r="87" spans="1:3">
      <c r="A87" s="59"/>
      <c r="B87" s="59"/>
      <c r="C87" s="59"/>
    </row>
    <row r="88" spans="1:3">
      <c r="A88" s="59"/>
      <c r="B88" s="59"/>
      <c r="C88" s="59"/>
    </row>
    <row r="89" spans="1:3">
      <c r="A89" s="59"/>
      <c r="B89" s="59"/>
      <c r="C89" s="59"/>
    </row>
    <row r="90" spans="1:3">
      <c r="A90" s="59"/>
      <c r="B90" s="59"/>
      <c r="C90" s="59"/>
    </row>
    <row r="91" spans="1:3">
      <c r="A91" s="59"/>
      <c r="B91" s="59"/>
      <c r="C91" s="59"/>
    </row>
    <row r="92" spans="1:3">
      <c r="A92" s="59"/>
      <c r="B92" s="59"/>
      <c r="C92" s="59"/>
    </row>
    <row r="93" spans="1:3">
      <c r="A93" s="59"/>
      <c r="B93" s="59"/>
      <c r="C93" s="59"/>
    </row>
    <row r="94" spans="1:3">
      <c r="A94" s="59"/>
      <c r="B94" s="59"/>
      <c r="C94" s="59"/>
    </row>
    <row r="95" spans="1:3">
      <c r="A95" s="59"/>
      <c r="B95" s="59"/>
      <c r="C95" s="59"/>
    </row>
    <row r="96" spans="1:3">
      <c r="A96" s="59"/>
      <c r="B96" s="59"/>
      <c r="C96" s="59"/>
    </row>
    <row r="97" spans="1:3">
      <c r="A97" s="59"/>
      <c r="B97" s="59"/>
      <c r="C97" s="59"/>
    </row>
    <row r="98" spans="1:3">
      <c r="A98" s="59"/>
      <c r="B98" s="59"/>
      <c r="C98" s="59"/>
    </row>
    <row r="99" spans="1:3">
      <c r="A99" s="59"/>
      <c r="B99" s="59"/>
      <c r="C99" s="59"/>
    </row>
    <row r="100" spans="1:3">
      <c r="A100" s="59"/>
      <c r="B100" s="59"/>
      <c r="C100" s="59"/>
    </row>
    <row r="101" spans="1:3">
      <c r="A101" s="59"/>
      <c r="B101" s="59"/>
      <c r="C101" s="59"/>
    </row>
    <row r="102" spans="1:3">
      <c r="A102" s="59"/>
      <c r="B102" s="59"/>
      <c r="C102" s="59"/>
    </row>
    <row r="103" spans="1:3">
      <c r="A103" s="59"/>
      <c r="B103" s="59"/>
      <c r="C103" s="59"/>
    </row>
    <row r="104" spans="1:3">
      <c r="A104" s="59"/>
      <c r="B104" s="59"/>
      <c r="C104" s="59"/>
    </row>
    <row r="105" spans="1:3">
      <c r="A105" s="59"/>
      <c r="B105" s="59"/>
      <c r="C105" s="59"/>
    </row>
    <row r="106" spans="1:3">
      <c r="A106" s="59"/>
      <c r="B106" s="59"/>
      <c r="C106" s="59"/>
    </row>
    <row r="107" spans="1:3">
      <c r="A107" s="59"/>
      <c r="B107" s="59"/>
      <c r="C107" s="59"/>
    </row>
    <row r="108" spans="1:3">
      <c r="A108" s="59"/>
      <c r="B108" s="59"/>
      <c r="C108" s="59"/>
    </row>
    <row r="109" spans="1:3">
      <c r="A109" s="59"/>
      <c r="B109" s="59"/>
      <c r="C109" s="59"/>
    </row>
    <row r="110" spans="1:3">
      <c r="A110" s="59"/>
      <c r="B110" s="59"/>
      <c r="C110" s="59"/>
    </row>
    <row r="111" spans="1:3">
      <c r="A111" s="59"/>
      <c r="B111" s="59"/>
      <c r="C111" s="59"/>
    </row>
    <row r="112" spans="1:3">
      <c r="A112" s="59"/>
      <c r="B112" s="59"/>
      <c r="C112" s="59"/>
    </row>
    <row r="113" spans="1:3">
      <c r="A113" s="59"/>
      <c r="B113" s="59"/>
      <c r="C113" s="59"/>
    </row>
    <row r="114" spans="1:3">
      <c r="A114" s="59"/>
      <c r="B114" s="59"/>
      <c r="C114" s="59"/>
    </row>
    <row r="115" spans="1:3">
      <c r="A115" s="59"/>
      <c r="B115" s="59"/>
      <c r="C115" s="59"/>
    </row>
    <row r="116" spans="1:3">
      <c r="A116" s="59"/>
      <c r="B116" s="59"/>
      <c r="C116" s="59"/>
    </row>
    <row r="117" spans="1:3">
      <c r="A117" s="59"/>
      <c r="B117" s="59"/>
      <c r="C117" s="59"/>
    </row>
    <row r="118" spans="1:3">
      <c r="A118" s="59"/>
      <c r="B118" s="59"/>
      <c r="C118" s="59"/>
    </row>
    <row r="119" spans="1:3">
      <c r="A119" s="59"/>
      <c r="B119" s="59"/>
      <c r="C119" s="59"/>
    </row>
    <row r="120" spans="1:3">
      <c r="A120" s="59"/>
      <c r="B120" s="59"/>
      <c r="C120" s="59"/>
    </row>
    <row r="121" spans="1:3">
      <c r="A121" s="59"/>
      <c r="B121" s="59"/>
      <c r="C121" s="59"/>
    </row>
    <row r="122" spans="1:3">
      <c r="A122" s="59"/>
      <c r="B122" s="59"/>
      <c r="C122" s="59"/>
    </row>
    <row r="123" spans="1:3">
      <c r="A123" s="59"/>
      <c r="B123" s="59"/>
      <c r="C123" s="59"/>
    </row>
    <row r="124" spans="1:3">
      <c r="A124" s="59"/>
      <c r="B124" s="59"/>
      <c r="C124" s="59"/>
    </row>
    <row r="125" spans="1:3">
      <c r="A125" s="59"/>
      <c r="B125" s="59"/>
      <c r="C125" s="59"/>
    </row>
    <row r="126" spans="1:3">
      <c r="A126" s="59"/>
      <c r="B126" s="59"/>
      <c r="C126" s="59"/>
    </row>
    <row r="127" spans="1:3">
      <c r="A127" s="59"/>
      <c r="B127" s="59"/>
      <c r="C127" s="59"/>
    </row>
    <row r="128" spans="1:3">
      <c r="A128" s="59"/>
      <c r="B128" s="59"/>
      <c r="C128" s="59"/>
    </row>
    <row r="129" spans="1:3">
      <c r="A129" s="59"/>
      <c r="B129" s="59"/>
      <c r="C129" s="59"/>
    </row>
    <row r="130" spans="1:3">
      <c r="A130" s="60"/>
      <c r="B130" s="60"/>
    </row>
    <row r="131" spans="1:3">
      <c r="A131" s="60"/>
      <c r="B131" s="60"/>
    </row>
    <row r="132" spans="1:3">
      <c r="A132" s="60"/>
      <c r="B132" s="60"/>
    </row>
    <row r="133" spans="1:3">
      <c r="A133" s="60"/>
      <c r="B133" s="60"/>
    </row>
    <row r="134" spans="1:3">
      <c r="A134" s="60"/>
      <c r="B134" s="60"/>
    </row>
    <row r="135" spans="1:3">
      <c r="A135" s="60"/>
      <c r="B135" s="60"/>
    </row>
    <row r="136" spans="1:3">
      <c r="A136" s="60"/>
      <c r="B136" s="60"/>
    </row>
    <row r="137" spans="1:3">
      <c r="A137" s="60"/>
      <c r="B137" s="60"/>
    </row>
    <row r="138" spans="1:3">
      <c r="A138" s="60"/>
      <c r="B138" s="60"/>
    </row>
    <row r="139" spans="1:3">
      <c r="A139" s="60"/>
      <c r="B139" s="60"/>
    </row>
    <row r="140" spans="1:3">
      <c r="A140" s="60"/>
      <c r="B140" s="60"/>
    </row>
    <row r="141" spans="1:3">
      <c r="A141" s="60"/>
      <c r="B141" s="60"/>
    </row>
    <row r="142" spans="1:3">
      <c r="A142" s="60"/>
      <c r="B142" s="60"/>
    </row>
    <row r="143" spans="1:3">
      <c r="A143" s="60"/>
      <c r="B143" s="60"/>
    </row>
    <row r="144" spans="1:3">
      <c r="A144" s="60"/>
      <c r="B144" s="60"/>
    </row>
    <row r="145" spans="1:2">
      <c r="A145" s="60"/>
      <c r="B145" s="60"/>
    </row>
    <row r="146" spans="1:2">
      <c r="A146" s="60"/>
      <c r="B146" s="60"/>
    </row>
    <row r="147" spans="1:2">
      <c r="A147" s="60"/>
      <c r="B147" s="60"/>
    </row>
    <row r="148" spans="1:2">
      <c r="A148" s="60"/>
      <c r="B148" s="60"/>
    </row>
    <row r="149" spans="1:2">
      <c r="A149" s="60"/>
      <c r="B149" s="60"/>
    </row>
    <row r="150" spans="1:2">
      <c r="A150" s="60"/>
      <c r="B150" s="60"/>
    </row>
    <row r="151" spans="1:2">
      <c r="A151" s="60"/>
      <c r="B151" s="60"/>
    </row>
    <row r="152" spans="1:2">
      <c r="A152" s="60"/>
      <c r="B152" s="60"/>
    </row>
    <row r="153" spans="1:2">
      <c r="A153" s="60"/>
      <c r="B153" s="60"/>
    </row>
    <row r="154" spans="1:2">
      <c r="A154" s="60"/>
      <c r="B154" s="60"/>
    </row>
    <row r="155" spans="1:2">
      <c r="A155" s="60"/>
      <c r="B155" s="60"/>
    </row>
    <row r="156" spans="1:2">
      <c r="A156" s="60"/>
      <c r="B156" s="60"/>
    </row>
    <row r="157" spans="1:2">
      <c r="A157" s="60"/>
      <c r="B157" s="60"/>
    </row>
    <row r="158" spans="1:2">
      <c r="A158" s="60"/>
      <c r="B158" s="60"/>
    </row>
    <row r="159" spans="1:2">
      <c r="A159" s="60"/>
      <c r="B159" s="60"/>
    </row>
    <row r="160" spans="1:2">
      <c r="A160" s="60"/>
      <c r="B160" s="60"/>
    </row>
    <row r="161" spans="1:2">
      <c r="A161" s="60"/>
      <c r="B161" s="60"/>
    </row>
    <row r="162" spans="1:2">
      <c r="A162" s="60"/>
      <c r="B162" s="60"/>
    </row>
    <row r="163" spans="1:2">
      <c r="A163" s="60"/>
      <c r="B163" s="60"/>
    </row>
    <row r="164" spans="1:2">
      <c r="A164" s="60"/>
      <c r="B164" s="60"/>
    </row>
    <row r="165" spans="1:2">
      <c r="A165" s="60"/>
      <c r="B165" s="60"/>
    </row>
    <row r="166" spans="1:2">
      <c r="A166" s="60"/>
      <c r="B166" s="60"/>
    </row>
    <row r="167" spans="1:2">
      <c r="A167" s="60"/>
      <c r="B167" s="60"/>
    </row>
    <row r="168" spans="1:2">
      <c r="A168" s="60"/>
      <c r="B168" s="60"/>
    </row>
    <row r="169" spans="1:2">
      <c r="A169" s="60"/>
      <c r="B169" s="60"/>
    </row>
    <row r="170" spans="1:2">
      <c r="A170" s="60"/>
      <c r="B170" s="60"/>
    </row>
    <row r="171" spans="1:2">
      <c r="A171" s="60"/>
      <c r="B171" s="60"/>
    </row>
    <row r="172" spans="1:2">
      <c r="A172" s="60"/>
      <c r="B172" s="60"/>
    </row>
    <row r="173" spans="1:2">
      <c r="A173" s="60"/>
      <c r="B173" s="60"/>
    </row>
    <row r="174" spans="1:2">
      <c r="A174" s="60"/>
      <c r="B174" s="60"/>
    </row>
    <row r="175" spans="1:2">
      <c r="A175" s="60"/>
      <c r="B175" s="60"/>
    </row>
    <row r="176" spans="1:2">
      <c r="A176" s="60"/>
      <c r="B176" s="60"/>
    </row>
    <row r="177" spans="1:2">
      <c r="A177" s="60"/>
      <c r="B177" s="60"/>
    </row>
    <row r="178" spans="1:2">
      <c r="A178" s="60"/>
      <c r="B178" s="60"/>
    </row>
    <row r="179" spans="1:2">
      <c r="A179" s="60"/>
      <c r="B179" s="60"/>
    </row>
    <row r="180" spans="1:2">
      <c r="A180" s="60"/>
      <c r="B180" s="60"/>
    </row>
    <row r="181" spans="1:2">
      <c r="A181" s="60"/>
      <c r="B181" s="60"/>
    </row>
    <row r="182" spans="1:2">
      <c r="A182" s="60"/>
      <c r="B182" s="60"/>
    </row>
    <row r="183" spans="1:2">
      <c r="A183" s="60"/>
      <c r="B183" s="60"/>
    </row>
    <row r="184" spans="1:2">
      <c r="A184" s="60"/>
      <c r="B184" s="60"/>
    </row>
    <row r="185" spans="1:2">
      <c r="A185" s="60"/>
      <c r="B185" s="60"/>
    </row>
    <row r="186" spans="1:2">
      <c r="A186" s="60"/>
      <c r="B186" s="60"/>
    </row>
    <row r="187" spans="1:2">
      <c r="A187" s="60"/>
      <c r="B187" s="60"/>
    </row>
    <row r="188" spans="1:2">
      <c r="A188" s="60"/>
      <c r="B188" s="60"/>
    </row>
    <row r="189" spans="1:2">
      <c r="A189" s="60"/>
      <c r="B189" s="60"/>
    </row>
    <row r="190" spans="1:2">
      <c r="A190" s="60"/>
      <c r="B190" s="60"/>
    </row>
    <row r="191" spans="1:2">
      <c r="A191" s="60"/>
      <c r="B191" s="60"/>
    </row>
    <row r="192" spans="1:2">
      <c r="A192" s="60"/>
      <c r="B192" s="60"/>
    </row>
    <row r="193" spans="1:2">
      <c r="A193" s="60"/>
      <c r="B193" s="60"/>
    </row>
    <row r="194" spans="1:2">
      <c r="A194" s="60"/>
      <c r="B194" s="60"/>
    </row>
    <row r="195" spans="1:2">
      <c r="A195" s="60"/>
      <c r="B195" s="60"/>
    </row>
    <row r="196" spans="1:2">
      <c r="A196" s="60"/>
      <c r="B196" s="60"/>
    </row>
    <row r="197" spans="1:2">
      <c r="A197" s="60"/>
      <c r="B197" s="60"/>
    </row>
    <row r="198" spans="1:2">
      <c r="A198" s="60"/>
      <c r="B198" s="60"/>
    </row>
    <row r="199" spans="1:2">
      <c r="A199" s="60"/>
      <c r="B199" s="60"/>
    </row>
    <row r="200" spans="1:2">
      <c r="A200" s="60"/>
      <c r="B200" s="60"/>
    </row>
    <row r="201" spans="1:2">
      <c r="A201" s="60"/>
      <c r="B201" s="60"/>
    </row>
    <row r="202" spans="1:2">
      <c r="A202" s="60"/>
      <c r="B202" s="60"/>
    </row>
    <row r="203" spans="1:2">
      <c r="A203" s="60"/>
      <c r="B203" s="60"/>
    </row>
    <row r="204" spans="1:2">
      <c r="A204" s="60"/>
      <c r="B204" s="60"/>
    </row>
    <row r="205" spans="1:2">
      <c r="A205" s="60"/>
      <c r="B205" s="60"/>
    </row>
    <row r="206" spans="1:2">
      <c r="A206" s="60"/>
      <c r="B206" s="60"/>
    </row>
    <row r="207" spans="1:2">
      <c r="A207" s="60"/>
      <c r="B207" s="60"/>
    </row>
    <row r="208" spans="1:2">
      <c r="A208" s="60"/>
      <c r="B208" s="60"/>
    </row>
    <row r="209" spans="1:2">
      <c r="A209" s="60"/>
      <c r="B209" s="60"/>
    </row>
    <row r="210" spans="1:2">
      <c r="A210" s="60"/>
      <c r="B210" s="60"/>
    </row>
    <row r="211" spans="1:2">
      <c r="A211" s="60"/>
      <c r="B211" s="60"/>
    </row>
    <row r="212" spans="1:2">
      <c r="A212" s="60"/>
      <c r="B212" s="60"/>
    </row>
    <row r="213" spans="1:2">
      <c r="A213" s="60"/>
      <c r="B213" s="60"/>
    </row>
    <row r="214" spans="1:2">
      <c r="A214" s="60"/>
      <c r="B214" s="60"/>
    </row>
    <row r="215" spans="1:2">
      <c r="A215" s="60"/>
      <c r="B215" s="60"/>
    </row>
    <row r="216" spans="1:2">
      <c r="A216" s="60"/>
      <c r="B216" s="60"/>
    </row>
    <row r="217" spans="1:2">
      <c r="A217" s="60"/>
      <c r="B217" s="60"/>
    </row>
    <row r="218" spans="1:2">
      <c r="A218" s="60"/>
      <c r="B218" s="60"/>
    </row>
    <row r="219" spans="1:2">
      <c r="A219" s="60"/>
      <c r="B219" s="60"/>
    </row>
    <row r="220" spans="1:2">
      <c r="A220" s="60"/>
      <c r="B220" s="60"/>
    </row>
    <row r="221" spans="1:2">
      <c r="A221" s="60"/>
      <c r="B221" s="60"/>
    </row>
    <row r="222" spans="1:2">
      <c r="A222" s="60"/>
      <c r="B222" s="60"/>
    </row>
    <row r="223" spans="1:2">
      <c r="A223" s="60"/>
      <c r="B223" s="60"/>
    </row>
    <row r="224" spans="1:2">
      <c r="A224" s="60"/>
      <c r="B224" s="60"/>
    </row>
    <row r="225" spans="1:2">
      <c r="A225" s="60"/>
      <c r="B225" s="60"/>
    </row>
    <row r="226" spans="1:2">
      <c r="A226" s="60"/>
      <c r="B226" s="60"/>
    </row>
    <row r="227" spans="1:2">
      <c r="A227" s="60"/>
      <c r="B227" s="60"/>
    </row>
    <row r="228" spans="1:2">
      <c r="A228" s="60"/>
      <c r="B228" s="60"/>
    </row>
    <row r="229" spans="1:2">
      <c r="A229" s="60"/>
      <c r="B229" s="60"/>
    </row>
    <row r="230" spans="1:2">
      <c r="A230" s="60"/>
      <c r="B230" s="60"/>
    </row>
    <row r="231" spans="1:2">
      <c r="A231" s="60"/>
      <c r="B231" s="60"/>
    </row>
    <row r="232" spans="1:2">
      <c r="A232" s="60"/>
      <c r="B232" s="60"/>
    </row>
    <row r="233" spans="1:2">
      <c r="A233" s="60"/>
      <c r="B233" s="60"/>
    </row>
    <row r="234" spans="1:2">
      <c r="A234" s="60"/>
      <c r="B234" s="60"/>
    </row>
    <row r="235" spans="1:2">
      <c r="A235" s="60"/>
      <c r="B235" s="60"/>
    </row>
    <row r="236" spans="1:2">
      <c r="A236" s="60"/>
      <c r="B236" s="60"/>
    </row>
    <row r="237" spans="1:2">
      <c r="A237" s="60"/>
      <c r="B237" s="60"/>
    </row>
    <row r="238" spans="1:2">
      <c r="A238" s="60"/>
      <c r="B238" s="60"/>
    </row>
    <row r="239" spans="1:2">
      <c r="A239" s="60"/>
      <c r="B239" s="60"/>
    </row>
    <row r="240" spans="1:2">
      <c r="A240" s="60"/>
      <c r="B240" s="60"/>
    </row>
    <row r="241" spans="1:2">
      <c r="A241" s="60"/>
      <c r="B241" s="60"/>
    </row>
    <row r="242" spans="1:2">
      <c r="A242" s="60"/>
      <c r="B242" s="60"/>
    </row>
    <row r="243" spans="1:2">
      <c r="A243" s="60"/>
      <c r="B243" s="60"/>
    </row>
    <row r="244" spans="1:2">
      <c r="A244" s="60"/>
      <c r="B244" s="60"/>
    </row>
    <row r="245" spans="1:2">
      <c r="A245" s="60"/>
      <c r="B245" s="60"/>
    </row>
    <row r="246" spans="1:2">
      <c r="A246" s="60"/>
      <c r="B246" s="60"/>
    </row>
    <row r="247" spans="1:2">
      <c r="A247" s="60"/>
      <c r="B247" s="60"/>
    </row>
    <row r="248" spans="1:2">
      <c r="A248" s="60"/>
      <c r="B248" s="60"/>
    </row>
    <row r="249" spans="1:2">
      <c r="A249" s="60"/>
      <c r="B249" s="60"/>
    </row>
    <row r="250" spans="1:2">
      <c r="A250" s="60"/>
      <c r="B250" s="60"/>
    </row>
    <row r="251" spans="1:2">
      <c r="A251" s="60"/>
      <c r="B251" s="60"/>
    </row>
    <row r="252" spans="1:2">
      <c r="A252" s="60"/>
      <c r="B252" s="60"/>
    </row>
    <row r="253" spans="1:2">
      <c r="A253" s="60"/>
      <c r="B253" s="60"/>
    </row>
    <row r="254" spans="1:2">
      <c r="A254" s="60"/>
      <c r="B254" s="60"/>
    </row>
    <row r="255" spans="1:2">
      <c r="A255" s="60"/>
      <c r="B255" s="60"/>
    </row>
    <row r="256" spans="1:2">
      <c r="A256" s="60"/>
      <c r="B256" s="60"/>
    </row>
    <row r="257" spans="1:2">
      <c r="A257" s="60"/>
      <c r="B257" s="60"/>
    </row>
    <row r="258" spans="1:2">
      <c r="A258" s="60"/>
      <c r="B258" s="60"/>
    </row>
    <row r="259" spans="1:2">
      <c r="A259" s="60"/>
      <c r="B259" s="60"/>
    </row>
    <row r="260" spans="1:2">
      <c r="A260" s="60"/>
      <c r="B260" s="60"/>
    </row>
    <row r="261" spans="1:2">
      <c r="A261" s="60"/>
      <c r="B261" s="60"/>
    </row>
    <row r="262" spans="1:2">
      <c r="A262" s="60"/>
      <c r="B262" s="60"/>
    </row>
    <row r="263" spans="1:2">
      <c r="A263" s="60"/>
      <c r="B263" s="60"/>
    </row>
    <row r="264" spans="1:2">
      <c r="A264" s="60"/>
      <c r="B264" s="60"/>
    </row>
    <row r="265" spans="1:2">
      <c r="A265" s="60"/>
      <c r="B265" s="60"/>
    </row>
    <row r="266" spans="1:2">
      <c r="A266" s="60"/>
      <c r="B266" s="60"/>
    </row>
    <row r="267" spans="1:2">
      <c r="A267" s="60"/>
      <c r="B267" s="60"/>
    </row>
    <row r="268" spans="1:2">
      <c r="A268" s="60"/>
      <c r="B268" s="60"/>
    </row>
    <row r="269" spans="1:2">
      <c r="A269" s="60"/>
      <c r="B269" s="60"/>
    </row>
    <row r="270" spans="1:2">
      <c r="A270" s="60"/>
      <c r="B270" s="60"/>
    </row>
    <row r="271" spans="1:2">
      <c r="A271" s="60"/>
      <c r="B271" s="60"/>
    </row>
    <row r="272" spans="1:2">
      <c r="A272" s="60"/>
      <c r="B272" s="60"/>
    </row>
    <row r="273" spans="1:2">
      <c r="A273" s="60"/>
      <c r="B273" s="60"/>
    </row>
    <row r="274" spans="1:2">
      <c r="A274" s="60"/>
      <c r="B274" s="60"/>
    </row>
    <row r="275" spans="1:2">
      <c r="A275" s="60"/>
      <c r="B275" s="60"/>
    </row>
    <row r="276" spans="1:2">
      <c r="A276" s="60"/>
      <c r="B276" s="60"/>
    </row>
    <row r="277" spans="1:2">
      <c r="A277" s="60"/>
      <c r="B277" s="60"/>
    </row>
    <row r="278" spans="1:2">
      <c r="A278" s="60"/>
      <c r="B278" s="60"/>
    </row>
    <row r="279" spans="1:2">
      <c r="A279" s="60"/>
      <c r="B279" s="60"/>
    </row>
    <row r="280" spans="1:2">
      <c r="A280" s="60"/>
      <c r="B280" s="60"/>
    </row>
    <row r="281" spans="1:2">
      <c r="A281" s="60"/>
      <c r="B281" s="60"/>
    </row>
    <row r="282" spans="1:2">
      <c r="A282" s="60"/>
      <c r="B282" s="60"/>
    </row>
    <row r="283" spans="1:2">
      <c r="A283" s="60"/>
      <c r="B283" s="60"/>
    </row>
    <row r="284" spans="1:2">
      <c r="A284" s="60"/>
      <c r="B284" s="60"/>
    </row>
    <row r="285" spans="1:2">
      <c r="A285" s="60"/>
      <c r="B285" s="60"/>
    </row>
    <row r="286" spans="1:2">
      <c r="A286" s="60"/>
      <c r="B286" s="60"/>
    </row>
    <row r="287" spans="1:2">
      <c r="A287" s="60"/>
      <c r="B287" s="60"/>
    </row>
    <row r="288" spans="1:2">
      <c r="A288" s="60"/>
      <c r="B288" s="60"/>
    </row>
    <row r="289" spans="1:2">
      <c r="A289" s="60"/>
      <c r="B289" s="60"/>
    </row>
    <row r="290" spans="1:2">
      <c r="A290" s="60"/>
      <c r="B290" s="60"/>
    </row>
    <row r="291" spans="1:2">
      <c r="A291" s="60"/>
      <c r="B291" s="60"/>
    </row>
    <row r="292" spans="1:2">
      <c r="A292" s="60"/>
      <c r="B292" s="60"/>
    </row>
    <row r="293" spans="1:2">
      <c r="A293" s="60"/>
      <c r="B293" s="60"/>
    </row>
    <row r="294" spans="1:2">
      <c r="A294" s="60"/>
      <c r="B294" s="60"/>
    </row>
    <row r="295" spans="1:2">
      <c r="A295" s="60"/>
      <c r="B295" s="60"/>
    </row>
    <row r="296" spans="1:2">
      <c r="A296" s="60"/>
      <c r="B296" s="60"/>
    </row>
    <row r="297" spans="1:2">
      <c r="A297" s="60"/>
      <c r="B297" s="60"/>
    </row>
    <row r="298" spans="1:2">
      <c r="A298" s="60"/>
      <c r="B298" s="60"/>
    </row>
    <row r="299" spans="1:2">
      <c r="A299" s="60"/>
      <c r="B299" s="60"/>
    </row>
    <row r="300" spans="1:2">
      <c r="A300" s="60"/>
      <c r="B300" s="60"/>
    </row>
    <row r="301" spans="1:2">
      <c r="A301" s="60"/>
      <c r="B301" s="60"/>
    </row>
    <row r="302" spans="1:2">
      <c r="A302" s="60"/>
      <c r="B302" s="60"/>
    </row>
    <row r="303" spans="1:2">
      <c r="A303" s="60"/>
      <c r="B303" s="60"/>
    </row>
    <row r="304" spans="1:2">
      <c r="A304" s="60"/>
      <c r="B304" s="60"/>
    </row>
    <row r="305" spans="1:2">
      <c r="A305" s="60"/>
      <c r="B305" s="60"/>
    </row>
    <row r="306" spans="1:2">
      <c r="A306" s="60"/>
      <c r="B306" s="60"/>
    </row>
    <row r="307" spans="1:2">
      <c r="A307" s="60"/>
      <c r="B307" s="60"/>
    </row>
    <row r="308" spans="1:2">
      <c r="A308" s="60"/>
      <c r="B308" s="60"/>
    </row>
    <row r="309" spans="1:2">
      <c r="A309" s="60"/>
      <c r="B309" s="60"/>
    </row>
    <row r="310" spans="1:2">
      <c r="A310" s="60"/>
      <c r="B310" s="60"/>
    </row>
    <row r="311" spans="1:2">
      <c r="A311" s="60"/>
      <c r="B311" s="60"/>
    </row>
    <row r="312" spans="1:2">
      <c r="A312" s="60"/>
      <c r="B312" s="60"/>
    </row>
    <row r="313" spans="1:2">
      <c r="A313" s="60"/>
      <c r="B313" s="60"/>
    </row>
    <row r="314" spans="1:2">
      <c r="A314" s="60"/>
      <c r="B314" s="60"/>
    </row>
    <row r="315" spans="1:2">
      <c r="A315" s="60"/>
      <c r="B315" s="60"/>
    </row>
    <row r="316" spans="1:2">
      <c r="A316" s="60"/>
      <c r="B316" s="60"/>
    </row>
    <row r="317" spans="1:2">
      <c r="A317" s="60"/>
      <c r="B317" s="60"/>
    </row>
    <row r="318" spans="1:2">
      <c r="A318" s="60"/>
      <c r="B318" s="60"/>
    </row>
    <row r="319" spans="1:2">
      <c r="A319" s="60"/>
      <c r="B319" s="60"/>
    </row>
    <row r="320" spans="1:2">
      <c r="A320" s="60"/>
      <c r="B320" s="60"/>
    </row>
    <row r="321" spans="1:2">
      <c r="A321" s="60"/>
      <c r="B321" s="60"/>
    </row>
    <row r="322" spans="1:2">
      <c r="A322" s="60"/>
      <c r="B322" s="60"/>
    </row>
    <row r="323" spans="1:2">
      <c r="A323" s="60"/>
      <c r="B323" s="60"/>
    </row>
    <row r="324" spans="1:2">
      <c r="A324" s="60"/>
      <c r="B324" s="60"/>
    </row>
    <row r="325" spans="1:2">
      <c r="A325" s="60"/>
      <c r="B325" s="60"/>
    </row>
    <row r="326" spans="1:2">
      <c r="A326" s="60"/>
      <c r="B326" s="60"/>
    </row>
    <row r="327" spans="1:2">
      <c r="A327" s="60"/>
      <c r="B327" s="60"/>
    </row>
    <row r="328" spans="1:2">
      <c r="A328" s="60"/>
      <c r="B328" s="60"/>
    </row>
    <row r="329" spans="1:2">
      <c r="A329" s="60"/>
      <c r="B329" s="60"/>
    </row>
    <row r="330" spans="1:2">
      <c r="A330" s="60"/>
      <c r="B330" s="60"/>
    </row>
    <row r="331" spans="1:2">
      <c r="A331" s="60"/>
      <c r="B331" s="60"/>
    </row>
    <row r="332" spans="1:2">
      <c r="A332" s="60"/>
      <c r="B332" s="60"/>
    </row>
    <row r="333" spans="1:2">
      <c r="A333" s="60"/>
      <c r="B333" s="60"/>
    </row>
    <row r="334" spans="1:2">
      <c r="A334" s="60"/>
      <c r="B334" s="60"/>
    </row>
    <row r="335" spans="1:2">
      <c r="A335" s="60"/>
      <c r="B335" s="60"/>
    </row>
    <row r="336" spans="1:2">
      <c r="A336" s="60"/>
      <c r="B336" s="60"/>
    </row>
    <row r="337" spans="1:2">
      <c r="A337" s="60"/>
      <c r="B337" s="60"/>
    </row>
    <row r="338" spans="1:2">
      <c r="A338" s="60"/>
      <c r="B338" s="60"/>
    </row>
    <row r="339" spans="1:2">
      <c r="A339" s="60"/>
      <c r="B339" s="60"/>
    </row>
    <row r="340" spans="1:2">
      <c r="A340" s="60"/>
      <c r="B340" s="60"/>
    </row>
    <row r="341" spans="1:2">
      <c r="A341" s="60"/>
      <c r="B341" s="60"/>
    </row>
    <row r="342" spans="1:2">
      <c r="A342" s="60"/>
      <c r="B342" s="60"/>
    </row>
    <row r="343" spans="1:2">
      <c r="A343" s="60"/>
      <c r="B343" s="60"/>
    </row>
    <row r="344" spans="1:2">
      <c r="A344" s="60"/>
      <c r="B344" s="60"/>
    </row>
    <row r="345" spans="1:2">
      <c r="A345" s="60"/>
      <c r="B345" s="60"/>
    </row>
    <row r="346" spans="1:2">
      <c r="A346" s="60"/>
      <c r="B346" s="60"/>
    </row>
    <row r="347" spans="1:2">
      <c r="A347" s="60"/>
      <c r="B347" s="60"/>
    </row>
    <row r="348" spans="1:2">
      <c r="A348" s="60"/>
      <c r="B348" s="60"/>
    </row>
    <row r="349" spans="1:2">
      <c r="A349" s="60"/>
      <c r="B349" s="60"/>
    </row>
    <row r="350" spans="1:2">
      <c r="A350" s="60"/>
      <c r="B350" s="60"/>
    </row>
    <row r="351" spans="1:2">
      <c r="A351" s="60"/>
      <c r="B351" s="60"/>
    </row>
    <row r="352" spans="1:2">
      <c r="A352" s="60"/>
      <c r="B352" s="60"/>
    </row>
    <row r="353" spans="1:2">
      <c r="A353" s="60"/>
      <c r="B353" s="60"/>
    </row>
    <row r="354" spans="1:2">
      <c r="A354" s="60"/>
      <c r="B354" s="60"/>
    </row>
    <row r="355" spans="1:2">
      <c r="A355" s="60"/>
      <c r="B355" s="60"/>
    </row>
    <row r="356" spans="1:2">
      <c r="A356" s="60"/>
      <c r="B356" s="60"/>
    </row>
    <row r="357" spans="1:2">
      <c r="A357" s="60"/>
      <c r="B357" s="60"/>
    </row>
    <row r="358" spans="1:2">
      <c r="A358" s="60"/>
      <c r="B358" s="60"/>
    </row>
    <row r="359" spans="1:2">
      <c r="A359" s="60"/>
      <c r="B359" s="60"/>
    </row>
    <row r="360" spans="1:2">
      <c r="A360" s="60"/>
      <c r="B360" s="60"/>
    </row>
    <row r="361" spans="1:2">
      <c r="A361" s="60"/>
      <c r="B361" s="60"/>
    </row>
    <row r="362" spans="1:2">
      <c r="A362" s="60"/>
      <c r="B362" s="60"/>
    </row>
    <row r="363" spans="1:2">
      <c r="A363" s="60"/>
      <c r="B363" s="60"/>
    </row>
    <row r="364" spans="1:2">
      <c r="A364" s="60"/>
      <c r="B364" s="60"/>
    </row>
    <row r="365" spans="1:2">
      <c r="A365" s="60"/>
      <c r="B365" s="60"/>
    </row>
    <row r="366" spans="1:2">
      <c r="A366" s="60"/>
      <c r="B366" s="60"/>
    </row>
    <row r="367" spans="1:2">
      <c r="A367" s="60"/>
      <c r="B367" s="60"/>
    </row>
    <row r="368" spans="1:2">
      <c r="A368" s="60"/>
      <c r="B368" s="60"/>
    </row>
    <row r="369" spans="1:2">
      <c r="A369" s="60"/>
      <c r="B369" s="60"/>
    </row>
    <row r="370" spans="1:2">
      <c r="A370" s="60"/>
      <c r="B370" s="60"/>
    </row>
    <row r="371" spans="1:2">
      <c r="A371" s="60"/>
      <c r="B371" s="60"/>
    </row>
    <row r="372" spans="1:2">
      <c r="A372" s="60"/>
      <c r="B372" s="60"/>
    </row>
    <row r="373" spans="1:2">
      <c r="A373" s="60"/>
      <c r="B373" s="60"/>
    </row>
    <row r="374" spans="1:2">
      <c r="A374" s="60"/>
      <c r="B374" s="60"/>
    </row>
    <row r="375" spans="1:2">
      <c r="A375" s="60"/>
      <c r="B375" s="60"/>
    </row>
    <row r="376" spans="1:2">
      <c r="A376" s="60"/>
      <c r="B376" s="60"/>
    </row>
    <row r="377" spans="1:2">
      <c r="A377" s="60"/>
      <c r="B377" s="60"/>
    </row>
    <row r="378" spans="1:2">
      <c r="A378" s="60"/>
      <c r="B378" s="60"/>
    </row>
    <row r="379" spans="1:2">
      <c r="A379" s="60"/>
      <c r="B379" s="60"/>
    </row>
    <row r="380" spans="1:2">
      <c r="A380" s="60"/>
      <c r="B380" s="60"/>
    </row>
    <row r="381" spans="1:2">
      <c r="A381" s="60"/>
      <c r="B381" s="60"/>
    </row>
    <row r="382" spans="1:2">
      <c r="A382" s="60"/>
      <c r="B382" s="60"/>
    </row>
    <row r="383" spans="1:2">
      <c r="A383" s="60"/>
      <c r="B383" s="60"/>
    </row>
    <row r="384" spans="1:2">
      <c r="A384" s="60"/>
      <c r="B384" s="60"/>
    </row>
    <row r="385" spans="1:2">
      <c r="A385" s="60"/>
      <c r="B385" s="60"/>
    </row>
    <row r="386" spans="1:2">
      <c r="A386" s="60"/>
      <c r="B386" s="60"/>
    </row>
    <row r="387" spans="1:2">
      <c r="A387" s="60"/>
      <c r="B387" s="60"/>
    </row>
    <row r="388" spans="1:2">
      <c r="A388" s="60"/>
      <c r="B388" s="60"/>
    </row>
    <row r="389" spans="1:2">
      <c r="A389" s="60"/>
      <c r="B389" s="60"/>
    </row>
    <row r="390" spans="1:2">
      <c r="A390" s="60"/>
      <c r="B390" s="60"/>
    </row>
    <row r="391" spans="1:2">
      <c r="A391" s="60"/>
      <c r="B391" s="60"/>
    </row>
    <row r="392" spans="1:2">
      <c r="A392" s="60"/>
      <c r="B392" s="60"/>
    </row>
    <row r="393" spans="1:2">
      <c r="A393" s="60"/>
      <c r="B393" s="60"/>
    </row>
    <row r="394" spans="1:2">
      <c r="A394" s="60"/>
      <c r="B394" s="60"/>
    </row>
    <row r="395" spans="1:2">
      <c r="A395" s="60"/>
      <c r="B395" s="60"/>
    </row>
    <row r="396" spans="1:2">
      <c r="A396" s="60"/>
      <c r="B396" s="60"/>
    </row>
    <row r="397" spans="1:2">
      <c r="A397" s="60"/>
      <c r="B397" s="60"/>
    </row>
    <row r="398" spans="1:2">
      <c r="A398" s="60"/>
      <c r="B398" s="60"/>
    </row>
    <row r="399" spans="1:2">
      <c r="A399" s="60"/>
      <c r="B399" s="60"/>
    </row>
    <row r="400" spans="1:2">
      <c r="A400" s="60"/>
      <c r="B400" s="60"/>
    </row>
    <row r="401" spans="1:2">
      <c r="A401" s="60"/>
      <c r="B401" s="60"/>
    </row>
    <row r="402" spans="1:2">
      <c r="A402" s="60"/>
      <c r="B402" s="60"/>
    </row>
    <row r="403" spans="1:2">
      <c r="A403" s="60"/>
      <c r="B403" s="60"/>
    </row>
    <row r="404" spans="1:2">
      <c r="A404" s="60"/>
      <c r="B404" s="60"/>
    </row>
    <row r="405" spans="1:2">
      <c r="A405" s="60"/>
      <c r="B405" s="60"/>
    </row>
    <row r="406" spans="1:2">
      <c r="A406" s="60"/>
      <c r="B406" s="60"/>
    </row>
    <row r="407" spans="1:2">
      <c r="A407" s="60"/>
      <c r="B407" s="60"/>
    </row>
    <row r="408" spans="1:2">
      <c r="A408" s="60"/>
      <c r="B408" s="60"/>
    </row>
    <row r="409" spans="1:2">
      <c r="A409" s="60"/>
      <c r="B409" s="60"/>
    </row>
    <row r="410" spans="1:2">
      <c r="A410" s="60"/>
      <c r="B410" s="60"/>
    </row>
    <row r="411" spans="1:2">
      <c r="A411" s="60"/>
      <c r="B411" s="60"/>
    </row>
    <row r="412" spans="1:2">
      <c r="A412" s="60"/>
      <c r="B412" s="60"/>
    </row>
    <row r="413" spans="1:2">
      <c r="A413" s="60"/>
      <c r="B413" s="60"/>
    </row>
    <row r="414" spans="1:2">
      <c r="A414" s="60"/>
      <c r="B414" s="60"/>
    </row>
    <row r="415" spans="1:2">
      <c r="A415" s="60"/>
      <c r="B415" s="60"/>
    </row>
    <row r="416" spans="1:2">
      <c r="A416" s="60"/>
      <c r="B416" s="60"/>
    </row>
    <row r="417" spans="1:2">
      <c r="A417" s="60"/>
      <c r="B417" s="60"/>
    </row>
    <row r="418" spans="1:2">
      <c r="A418" s="60"/>
      <c r="B418" s="60"/>
    </row>
    <row r="419" spans="1:2">
      <c r="A419" s="60"/>
      <c r="B419" s="60"/>
    </row>
    <row r="420" spans="1:2">
      <c r="A420" s="60"/>
      <c r="B420" s="60"/>
    </row>
    <row r="421" spans="1:2">
      <c r="A421" s="60"/>
      <c r="B421" s="60"/>
    </row>
    <row r="422" spans="1:2">
      <c r="A422" s="60"/>
      <c r="B422" s="60"/>
    </row>
    <row r="423" spans="1:2">
      <c r="A423" s="60"/>
      <c r="B423" s="60"/>
    </row>
    <row r="424" spans="1:2">
      <c r="A424" s="60"/>
      <c r="B424" s="60"/>
    </row>
    <row r="425" spans="1:2">
      <c r="A425" s="60"/>
      <c r="B425" s="60"/>
    </row>
    <row r="426" spans="1:2">
      <c r="A426" s="60"/>
      <c r="B426" s="60"/>
    </row>
    <row r="427" spans="1:2">
      <c r="A427" s="60"/>
      <c r="B427" s="60"/>
    </row>
    <row r="428" spans="1:2">
      <c r="A428" s="60"/>
      <c r="B428" s="60"/>
    </row>
    <row r="429" spans="1:2">
      <c r="A429" s="60"/>
      <c r="B429" s="60"/>
    </row>
    <row r="430" spans="1:2">
      <c r="A430" s="60"/>
      <c r="B430" s="60"/>
    </row>
    <row r="431" spans="1:2">
      <c r="A431" s="60"/>
      <c r="B431" s="60"/>
    </row>
    <row r="432" spans="1:2">
      <c r="A432" s="60"/>
      <c r="B432" s="60"/>
    </row>
    <row r="433" spans="1:2">
      <c r="A433" s="60"/>
      <c r="B433" s="60"/>
    </row>
    <row r="434" spans="1:2">
      <c r="A434" s="60"/>
      <c r="B434" s="60"/>
    </row>
    <row r="435" spans="1:2">
      <c r="A435" s="60"/>
      <c r="B435" s="60"/>
    </row>
    <row r="436" spans="1:2">
      <c r="A436" s="60"/>
      <c r="B436" s="60"/>
    </row>
    <row r="437" spans="1:2">
      <c r="A437" s="60"/>
      <c r="B437" s="60"/>
    </row>
    <row r="438" spans="1:2">
      <c r="A438" s="60"/>
      <c r="B438" s="60"/>
    </row>
    <row r="439" spans="1:2">
      <c r="A439" s="60"/>
      <c r="B439" s="60"/>
    </row>
    <row r="440" spans="1:2">
      <c r="A440" s="60"/>
      <c r="B440" s="60"/>
    </row>
    <row r="441" spans="1:2">
      <c r="A441" s="60"/>
      <c r="B441" s="60"/>
    </row>
    <row r="442" spans="1:2">
      <c r="A442" s="60"/>
      <c r="B442" s="60"/>
    </row>
    <row r="443" spans="1:2">
      <c r="A443" s="60"/>
      <c r="B443" s="60"/>
    </row>
    <row r="444" spans="1:2">
      <c r="A444" s="60"/>
      <c r="B444" s="60"/>
    </row>
    <row r="445" spans="1:2">
      <c r="A445" s="60"/>
      <c r="B445" s="60"/>
    </row>
    <row r="446" spans="1:2">
      <c r="A446" s="60"/>
      <c r="B446" s="60"/>
    </row>
    <row r="447" spans="1:2">
      <c r="A447" s="60"/>
      <c r="B447" s="60"/>
    </row>
    <row r="448" spans="1:2">
      <c r="A448" s="60"/>
      <c r="B448" s="60"/>
    </row>
    <row r="449" spans="1:2">
      <c r="A449" s="60"/>
      <c r="B449" s="60"/>
    </row>
    <row r="450" spans="1:2">
      <c r="A450" s="60"/>
      <c r="B450" s="60"/>
    </row>
    <row r="451" spans="1:2">
      <c r="A451" s="60"/>
      <c r="B451" s="60"/>
    </row>
    <row r="452" spans="1:2">
      <c r="A452" s="60"/>
      <c r="B452" s="60"/>
    </row>
    <row r="453" spans="1:2">
      <c r="A453" s="60"/>
      <c r="B453" s="60"/>
    </row>
    <row r="454" spans="1:2">
      <c r="A454" s="60"/>
      <c r="B454" s="60"/>
    </row>
    <row r="455" spans="1:2">
      <c r="A455" s="60"/>
      <c r="B455" s="60"/>
    </row>
    <row r="456" spans="1:2">
      <c r="A456" s="60"/>
      <c r="B456" s="60"/>
    </row>
    <row r="457" spans="1:2">
      <c r="A457" s="60"/>
      <c r="B457" s="60"/>
    </row>
    <row r="458" spans="1:2">
      <c r="A458" s="60"/>
      <c r="B458" s="60"/>
    </row>
    <row r="459" spans="1:2">
      <c r="A459" s="60"/>
      <c r="B459" s="60"/>
    </row>
    <row r="460" spans="1:2">
      <c r="A460" s="60"/>
      <c r="B460" s="60"/>
    </row>
    <row r="461" spans="1:2">
      <c r="A461" s="60"/>
      <c r="B461" s="60"/>
    </row>
    <row r="462" spans="1:2">
      <c r="A462" s="60"/>
      <c r="B462" s="60"/>
    </row>
    <row r="463" spans="1:2">
      <c r="A463" s="60"/>
      <c r="B463" s="60"/>
    </row>
    <row r="464" spans="1:2">
      <c r="A464" s="60"/>
      <c r="B464" s="60"/>
    </row>
    <row r="465" spans="1:2">
      <c r="A465" s="60"/>
      <c r="B465" s="60"/>
    </row>
    <row r="466" spans="1:2">
      <c r="A466" s="60"/>
      <c r="B466" s="60"/>
    </row>
    <row r="467" spans="1:2">
      <c r="A467" s="60"/>
      <c r="B467" s="60"/>
    </row>
    <row r="468" spans="1:2">
      <c r="A468" s="60"/>
      <c r="B468" s="60"/>
    </row>
    <row r="469" spans="1:2">
      <c r="A469" s="60"/>
      <c r="B469" s="60"/>
    </row>
    <row r="470" spans="1:2">
      <c r="A470" s="60"/>
      <c r="B470" s="60"/>
    </row>
    <row r="471" spans="1:2">
      <c r="A471" s="60"/>
      <c r="B471" s="60"/>
    </row>
    <row r="472" spans="1:2">
      <c r="A472" s="60"/>
      <c r="B472" s="60"/>
    </row>
    <row r="473" spans="1:2">
      <c r="A473" s="60"/>
      <c r="B473" s="60"/>
    </row>
    <row r="474" spans="1:2">
      <c r="A474" s="60"/>
      <c r="B474" s="60"/>
    </row>
    <row r="475" spans="1:2">
      <c r="A475" s="60"/>
      <c r="B475" s="60"/>
    </row>
    <row r="476" spans="1:2">
      <c r="A476" s="60"/>
      <c r="B476" s="60"/>
    </row>
    <row r="477" spans="1:2">
      <c r="A477" s="60"/>
      <c r="B477" s="60"/>
    </row>
    <row r="478" spans="1:2">
      <c r="A478" s="60"/>
      <c r="B478" s="60"/>
    </row>
    <row r="479" spans="1:2">
      <c r="A479" s="60"/>
      <c r="B479" s="60"/>
    </row>
    <row r="480" spans="1:2">
      <c r="A480" s="60"/>
      <c r="B480" s="60"/>
    </row>
    <row r="481" spans="1:2">
      <c r="A481" s="60"/>
      <c r="B481" s="60"/>
    </row>
    <row r="482" spans="1:2">
      <c r="A482" s="60"/>
      <c r="B482" s="60"/>
    </row>
    <row r="483" spans="1:2">
      <c r="A483" s="60"/>
      <c r="B483" s="60"/>
    </row>
    <row r="484" spans="1:2">
      <c r="A484" s="60"/>
      <c r="B484" s="60"/>
    </row>
    <row r="485" spans="1:2">
      <c r="A485" s="60"/>
      <c r="B485" s="60"/>
    </row>
    <row r="486" spans="1:2">
      <c r="A486" s="60"/>
      <c r="B486" s="60"/>
    </row>
    <row r="487" spans="1:2">
      <c r="A487" s="60"/>
      <c r="B487" s="60"/>
    </row>
    <row r="488" spans="1:2">
      <c r="A488" s="60"/>
      <c r="B488" s="60"/>
    </row>
    <row r="489" spans="1:2">
      <c r="A489" s="60"/>
      <c r="B489" s="60"/>
    </row>
    <row r="490" spans="1:2">
      <c r="A490" s="60"/>
      <c r="B490" s="60"/>
    </row>
    <row r="491" spans="1:2">
      <c r="A491" s="60"/>
      <c r="B491" s="60"/>
    </row>
    <row r="492" spans="1:2">
      <c r="A492" s="60"/>
      <c r="B492" s="60"/>
    </row>
    <row r="493" spans="1:2">
      <c r="A493" s="60"/>
      <c r="B493" s="60"/>
    </row>
    <row r="494" spans="1:2">
      <c r="A494" s="60"/>
      <c r="B494" s="60"/>
    </row>
    <row r="495" spans="1:2">
      <c r="A495" s="60"/>
      <c r="B495" s="60"/>
    </row>
    <row r="496" spans="1:2">
      <c r="A496" s="60"/>
      <c r="B496" s="60"/>
    </row>
    <row r="497" spans="1:2">
      <c r="A497" s="60"/>
      <c r="B497" s="60"/>
    </row>
    <row r="498" spans="1:2">
      <c r="A498" s="60"/>
      <c r="B498" s="60"/>
    </row>
    <row r="499" spans="1:2">
      <c r="A499" s="60"/>
      <c r="B499" s="60"/>
    </row>
    <row r="500" spans="1:2">
      <c r="A500" s="60"/>
      <c r="B500" s="60"/>
    </row>
    <row r="501" spans="1:2">
      <c r="A501" s="60"/>
      <c r="B501" s="60"/>
    </row>
    <row r="502" spans="1:2">
      <c r="A502" s="60"/>
      <c r="B502" s="60"/>
    </row>
    <row r="503" spans="1:2">
      <c r="A503" s="60"/>
      <c r="B503" s="60"/>
    </row>
    <row r="504" spans="1:2">
      <c r="A504" s="60"/>
      <c r="B504" s="60"/>
    </row>
    <row r="505" spans="1:2">
      <c r="A505" s="60"/>
      <c r="B505" s="60"/>
    </row>
    <row r="506" spans="1:2">
      <c r="A506" s="60"/>
      <c r="B506" s="60"/>
    </row>
    <row r="507" spans="1:2">
      <c r="A507" s="60"/>
      <c r="B507" s="60"/>
    </row>
    <row r="508" spans="1:2">
      <c r="A508" s="60"/>
      <c r="B508" s="60"/>
    </row>
    <row r="509" spans="1:2">
      <c r="A509" s="60"/>
      <c r="B509" s="60"/>
    </row>
    <row r="510" spans="1:2">
      <c r="A510" s="60"/>
      <c r="B510" s="60"/>
    </row>
    <row r="511" spans="1:2">
      <c r="A511" s="60"/>
      <c r="B511" s="60"/>
    </row>
    <row r="512" spans="1:2">
      <c r="A512" s="60"/>
      <c r="B512" s="60"/>
    </row>
    <row r="513" spans="1:2">
      <c r="A513" s="60"/>
      <c r="B513" s="60"/>
    </row>
    <row r="514" spans="1:2">
      <c r="A514" s="60"/>
      <c r="B514" s="60"/>
    </row>
    <row r="515" spans="1:2">
      <c r="A515" s="60"/>
      <c r="B515" s="60"/>
    </row>
    <row r="516" spans="1:2">
      <c r="A516" s="60"/>
      <c r="B516" s="60"/>
    </row>
    <row r="517" spans="1:2">
      <c r="A517" s="60"/>
      <c r="B517" s="60"/>
    </row>
    <row r="518" spans="1:2">
      <c r="A518" s="60"/>
      <c r="B518" s="60"/>
    </row>
    <row r="519" spans="1:2">
      <c r="A519" s="60"/>
      <c r="B519" s="60"/>
    </row>
    <row r="520" spans="1:2">
      <c r="A520" s="60"/>
      <c r="B520" s="60"/>
    </row>
    <row r="521" spans="1:2">
      <c r="A521" s="60"/>
      <c r="B521" s="60"/>
    </row>
    <row r="522" spans="1:2">
      <c r="A522" s="60"/>
      <c r="B522" s="60"/>
    </row>
    <row r="523" spans="1:2">
      <c r="A523" s="60"/>
      <c r="B523" s="60"/>
    </row>
    <row r="524" spans="1:2">
      <c r="A524" s="60"/>
      <c r="B524" s="60"/>
    </row>
    <row r="525" spans="1:2">
      <c r="A525" s="60"/>
      <c r="B525" s="60"/>
    </row>
    <row r="526" spans="1:2">
      <c r="A526" s="60"/>
      <c r="B526" s="60"/>
    </row>
    <row r="527" spans="1:2">
      <c r="A527" s="60"/>
      <c r="B527" s="60"/>
    </row>
    <row r="528" spans="1:2">
      <c r="A528" s="60"/>
      <c r="B528" s="60"/>
    </row>
    <row r="529" spans="1:2">
      <c r="A529" s="60"/>
      <c r="B529" s="60"/>
    </row>
    <row r="530" spans="1:2">
      <c r="A530" s="60"/>
      <c r="B530" s="60"/>
    </row>
    <row r="531" spans="1:2">
      <c r="A531" s="60"/>
      <c r="B531" s="60"/>
    </row>
    <row r="532" spans="1:2">
      <c r="A532" s="60"/>
      <c r="B532" s="60"/>
    </row>
    <row r="533" spans="1:2">
      <c r="A533" s="60"/>
      <c r="B533" s="60"/>
    </row>
    <row r="534" spans="1:2">
      <c r="A534" s="60"/>
      <c r="B534" s="60"/>
    </row>
    <row r="535" spans="1:2">
      <c r="A535" s="60"/>
      <c r="B535" s="60"/>
    </row>
    <row r="536" spans="1:2">
      <c r="A536" s="60"/>
      <c r="B536" s="60"/>
    </row>
    <row r="537" spans="1:2">
      <c r="A537" s="60"/>
      <c r="B537" s="60"/>
    </row>
    <row r="538" spans="1:2">
      <c r="A538" s="60"/>
      <c r="B538" s="60"/>
    </row>
    <row r="539" spans="1:2">
      <c r="A539" s="60"/>
      <c r="B539" s="60"/>
    </row>
    <row r="540" spans="1:2">
      <c r="A540" s="60"/>
      <c r="B540" s="60"/>
    </row>
    <row r="541" spans="1:2">
      <c r="A541" s="60"/>
      <c r="B541" s="60"/>
    </row>
    <row r="542" spans="1:2">
      <c r="A542" s="60"/>
      <c r="B542" s="60"/>
    </row>
    <row r="543" spans="1:2">
      <c r="A543" s="60"/>
      <c r="B543" s="60"/>
    </row>
    <row r="544" spans="1:2">
      <c r="A544" s="60"/>
      <c r="B544" s="60"/>
    </row>
    <row r="545" spans="1:2">
      <c r="A545" s="60"/>
      <c r="B545" s="60"/>
    </row>
    <row r="546" spans="1:2">
      <c r="A546" s="60"/>
      <c r="B546" s="60"/>
    </row>
    <row r="547" spans="1:2">
      <c r="A547" s="60"/>
      <c r="B547" s="60"/>
    </row>
    <row r="548" spans="1:2">
      <c r="A548" s="60"/>
      <c r="B548" s="60"/>
    </row>
    <row r="549" spans="1:2">
      <c r="A549" s="60"/>
      <c r="B549" s="60"/>
    </row>
    <row r="550" spans="1:2">
      <c r="A550" s="60"/>
      <c r="B550" s="60"/>
    </row>
    <row r="551" spans="1:2">
      <c r="A551" s="60"/>
      <c r="B551" s="60"/>
    </row>
    <row r="552" spans="1:2">
      <c r="A552" s="60"/>
      <c r="B552" s="60"/>
    </row>
    <row r="553" spans="1:2">
      <c r="A553" s="60"/>
      <c r="B553" s="60"/>
    </row>
    <row r="554" spans="1:2">
      <c r="A554" s="60"/>
      <c r="B554" s="60"/>
    </row>
    <row r="555" spans="1:2">
      <c r="A555" s="60"/>
      <c r="B555" s="60"/>
    </row>
    <row r="556" spans="1:2">
      <c r="A556" s="60"/>
      <c r="B556" s="60"/>
    </row>
    <row r="557" spans="1:2">
      <c r="A557" s="60"/>
      <c r="B557" s="60"/>
    </row>
    <row r="558" spans="1:2">
      <c r="A558" s="60"/>
      <c r="B558" s="60"/>
    </row>
    <row r="559" spans="1:2">
      <c r="A559" s="60"/>
      <c r="B559" s="60"/>
    </row>
    <row r="560" spans="1:2">
      <c r="A560" s="60"/>
      <c r="B560" s="60"/>
    </row>
    <row r="561" spans="1:2">
      <c r="A561" s="60"/>
      <c r="B561" s="60"/>
    </row>
    <row r="562" spans="1:2">
      <c r="A562" s="60"/>
      <c r="B562" s="60"/>
    </row>
    <row r="563" spans="1:2">
      <c r="A563" s="60"/>
      <c r="B563" s="60"/>
    </row>
    <row r="564" spans="1:2">
      <c r="A564" s="60"/>
      <c r="B564" s="60"/>
    </row>
    <row r="565" spans="1:2">
      <c r="A565" s="60"/>
      <c r="B565" s="60"/>
    </row>
    <row r="566" spans="1:2">
      <c r="A566" s="60"/>
      <c r="B566" s="60"/>
    </row>
    <row r="567" spans="1:2">
      <c r="A567" s="60"/>
      <c r="B567" s="60"/>
    </row>
    <row r="568" spans="1:2">
      <c r="A568" s="60"/>
      <c r="B568" s="60"/>
    </row>
    <row r="569" spans="1:2">
      <c r="A569" s="60"/>
      <c r="B569" s="60"/>
    </row>
    <row r="570" spans="1:2">
      <c r="A570" s="60"/>
      <c r="B570" s="60"/>
    </row>
    <row r="571" spans="1:2">
      <c r="A571" s="60"/>
      <c r="B571" s="60"/>
    </row>
    <row r="572" spans="1:2">
      <c r="A572" s="60"/>
      <c r="B572" s="60"/>
    </row>
    <row r="573" spans="1:2">
      <c r="A573" s="60"/>
      <c r="B573" s="60"/>
    </row>
    <row r="574" spans="1:2">
      <c r="A574" s="60"/>
      <c r="B574" s="60"/>
    </row>
    <row r="575" spans="1:2">
      <c r="A575" s="60"/>
      <c r="B575" s="60"/>
    </row>
    <row r="576" spans="1:2">
      <c r="A576" s="60"/>
      <c r="B576" s="60"/>
    </row>
    <row r="577" spans="1:2">
      <c r="A577" s="60"/>
      <c r="B577" s="60"/>
    </row>
    <row r="578" spans="1:2">
      <c r="A578" s="60"/>
      <c r="B578" s="60"/>
    </row>
    <row r="579" spans="1:2">
      <c r="A579" s="60"/>
      <c r="B579" s="60"/>
    </row>
    <row r="580" spans="1:2">
      <c r="A580" s="60"/>
      <c r="B580" s="60"/>
    </row>
    <row r="581" spans="1:2">
      <c r="A581" s="60"/>
      <c r="B581" s="60"/>
    </row>
    <row r="582" spans="1:2">
      <c r="A582" s="60"/>
      <c r="B582" s="60"/>
    </row>
    <row r="583" spans="1:2">
      <c r="A583" s="60"/>
      <c r="B583" s="60"/>
    </row>
    <row r="584" spans="1:2">
      <c r="A584" s="60"/>
      <c r="B584" s="60"/>
    </row>
    <row r="585" spans="1:2">
      <c r="A585" s="60"/>
      <c r="B585" s="60"/>
    </row>
    <row r="586" spans="1:2">
      <c r="A586" s="60"/>
      <c r="B586" s="60"/>
    </row>
    <row r="587" spans="1:2">
      <c r="A587" s="60"/>
      <c r="B587" s="60"/>
    </row>
    <row r="588" spans="1:2">
      <c r="A588" s="60"/>
      <c r="B588" s="60"/>
    </row>
    <row r="589" spans="1:2">
      <c r="A589" s="60"/>
      <c r="B589" s="60"/>
    </row>
    <row r="590" spans="1:2">
      <c r="A590" s="60"/>
      <c r="B590" s="60"/>
    </row>
    <row r="591" spans="1:2">
      <c r="A591" s="60"/>
      <c r="B591" s="60"/>
    </row>
    <row r="592" spans="1:2">
      <c r="A592" s="60"/>
      <c r="B592" s="60"/>
    </row>
    <row r="593" spans="1:2">
      <c r="A593" s="60"/>
      <c r="B593" s="60"/>
    </row>
    <row r="594" spans="1:2">
      <c r="A594" s="60"/>
      <c r="B594" s="60"/>
    </row>
    <row r="595" spans="1:2">
      <c r="A595" s="60"/>
      <c r="B595" s="60"/>
    </row>
    <row r="596" spans="1:2">
      <c r="A596" s="60"/>
      <c r="B596" s="60"/>
    </row>
    <row r="597" spans="1:2">
      <c r="A597" s="60"/>
      <c r="B597" s="60"/>
    </row>
    <row r="598" spans="1:2">
      <c r="A598" s="60"/>
      <c r="B598" s="60"/>
    </row>
    <row r="599" spans="1:2">
      <c r="A599" s="60"/>
      <c r="B599" s="60"/>
    </row>
    <row r="600" spans="1:2">
      <c r="A600" s="60"/>
      <c r="B600" s="60"/>
    </row>
    <row r="601" spans="1:2">
      <c r="A601" s="60"/>
      <c r="B601" s="60"/>
    </row>
    <row r="602" spans="1:2">
      <c r="A602" s="60"/>
      <c r="B602" s="60"/>
    </row>
    <row r="603" spans="1:2">
      <c r="A603" s="60"/>
      <c r="B603" s="60"/>
    </row>
    <row r="604" spans="1:2">
      <c r="A604" s="60"/>
      <c r="B604" s="60"/>
    </row>
    <row r="605" spans="1:2">
      <c r="A605" s="60"/>
      <c r="B605" s="60"/>
    </row>
    <row r="606" spans="1:2">
      <c r="A606" s="60"/>
      <c r="B606" s="60"/>
    </row>
    <row r="607" spans="1:2">
      <c r="A607" s="60"/>
      <c r="B607" s="60"/>
    </row>
    <row r="608" spans="1:2">
      <c r="A608" s="60"/>
      <c r="B608" s="60"/>
    </row>
    <row r="609" spans="1:2">
      <c r="A609" s="60"/>
      <c r="B609" s="60"/>
    </row>
    <row r="610" spans="1:2">
      <c r="A610" s="60"/>
      <c r="B610" s="60"/>
    </row>
    <row r="611" spans="1:2">
      <c r="A611" s="60"/>
      <c r="B611" s="60"/>
    </row>
    <row r="612" spans="1:2">
      <c r="A612" s="60"/>
      <c r="B612" s="60"/>
    </row>
    <row r="613" spans="1:2">
      <c r="A613" s="60"/>
      <c r="B613" s="60"/>
    </row>
    <row r="614" spans="1:2">
      <c r="A614" s="60"/>
      <c r="B614" s="60"/>
    </row>
    <row r="615" spans="1:2">
      <c r="A615" s="60"/>
      <c r="B615" s="60"/>
    </row>
    <row r="616" spans="1:2">
      <c r="A616" s="60"/>
      <c r="B616" s="60"/>
    </row>
    <row r="617" spans="1:2">
      <c r="A617" s="60"/>
      <c r="B617" s="60"/>
    </row>
    <row r="618" spans="1:2">
      <c r="A618" s="60"/>
      <c r="B618" s="60"/>
    </row>
    <row r="619" spans="1:2">
      <c r="A619" s="60"/>
      <c r="B619" s="60"/>
    </row>
    <row r="620" spans="1:2">
      <c r="A620" s="60"/>
      <c r="B620" s="60"/>
    </row>
    <row r="621" spans="1:2">
      <c r="A621" s="60"/>
      <c r="B621" s="60"/>
    </row>
    <row r="622" spans="1:2">
      <c r="A622" s="60"/>
      <c r="B622" s="60"/>
    </row>
    <row r="623" spans="1:2">
      <c r="A623" s="60"/>
      <c r="B623" s="60"/>
    </row>
    <row r="624" spans="1:2">
      <c r="A624" s="60"/>
      <c r="B624" s="60"/>
    </row>
    <row r="625" spans="1:2">
      <c r="A625" s="60"/>
      <c r="B625" s="60"/>
    </row>
    <row r="626" spans="1:2">
      <c r="A626" s="60"/>
      <c r="B626" s="60"/>
    </row>
    <row r="627" spans="1:2">
      <c r="A627" s="60"/>
      <c r="B627" s="60"/>
    </row>
    <row r="628" spans="1:2">
      <c r="A628" s="60"/>
      <c r="B628" s="60"/>
    </row>
    <row r="629" spans="1:2">
      <c r="A629" s="60"/>
      <c r="B629" s="60"/>
    </row>
    <row r="630" spans="1:2">
      <c r="A630" s="60"/>
      <c r="B630" s="60"/>
    </row>
    <row r="631" spans="1:2">
      <c r="A631" s="60"/>
      <c r="B631" s="60"/>
    </row>
    <row r="632" spans="1:2">
      <c r="A632" s="60"/>
      <c r="B632" s="60"/>
    </row>
    <row r="633" spans="1:2">
      <c r="A633" s="60"/>
      <c r="B633" s="60"/>
    </row>
    <row r="634" spans="1:2">
      <c r="A634" s="60"/>
      <c r="B634" s="60"/>
    </row>
    <row r="635" spans="1:2">
      <c r="A635" s="60"/>
      <c r="B635" s="60"/>
    </row>
    <row r="636" spans="1:2">
      <c r="A636" s="60"/>
      <c r="B636" s="60"/>
    </row>
    <row r="637" spans="1:2">
      <c r="A637" s="60"/>
      <c r="B637" s="60"/>
    </row>
    <row r="638" spans="1:2">
      <c r="A638" s="60"/>
      <c r="B638" s="60"/>
    </row>
    <row r="639" spans="1:2">
      <c r="A639" s="60"/>
      <c r="B639" s="60"/>
    </row>
    <row r="640" spans="1:2">
      <c r="A640" s="60"/>
      <c r="B640" s="60"/>
    </row>
    <row r="641" spans="1:2">
      <c r="A641" s="60"/>
      <c r="B641" s="60"/>
    </row>
    <row r="642" spans="1:2">
      <c r="A642" s="60"/>
      <c r="B642" s="60"/>
    </row>
    <row r="643" spans="1:2">
      <c r="A643" s="60"/>
      <c r="B643" s="60"/>
    </row>
    <row r="644" spans="1:2">
      <c r="A644" s="60"/>
      <c r="B644" s="60"/>
    </row>
    <row r="645" spans="1:2">
      <c r="A645" s="60"/>
      <c r="B645" s="60"/>
    </row>
    <row r="646" spans="1:2">
      <c r="A646" s="60"/>
      <c r="B646" s="60"/>
    </row>
    <row r="647" spans="1:2">
      <c r="A647" s="60"/>
      <c r="B647" s="60"/>
    </row>
    <row r="648" spans="1:2">
      <c r="A648" s="60"/>
      <c r="B648" s="60"/>
    </row>
    <row r="649" spans="1:2">
      <c r="A649" s="60"/>
      <c r="B649" s="60"/>
    </row>
    <row r="650" spans="1:2">
      <c r="A650" s="60"/>
      <c r="B650" s="60"/>
    </row>
    <row r="651" spans="1:2">
      <c r="A651" s="60"/>
      <c r="B651" s="60"/>
    </row>
    <row r="652" spans="1:2">
      <c r="A652" s="60"/>
      <c r="B652" s="60"/>
    </row>
    <row r="653" spans="1:2">
      <c r="A653" s="60"/>
      <c r="B653" s="60"/>
    </row>
    <row r="654" spans="1:2">
      <c r="A654" s="60"/>
      <c r="B654" s="60"/>
    </row>
    <row r="655" spans="1:2">
      <c r="A655" s="60"/>
      <c r="B655" s="60"/>
    </row>
    <row r="656" spans="1:2">
      <c r="A656" s="60"/>
      <c r="B656" s="60"/>
    </row>
    <row r="657" spans="1:2">
      <c r="A657" s="60"/>
      <c r="B657" s="60"/>
    </row>
    <row r="658" spans="1:2">
      <c r="A658" s="60"/>
      <c r="B658" s="60"/>
    </row>
    <row r="659" spans="1:2">
      <c r="A659" s="60"/>
      <c r="B659" s="60"/>
    </row>
    <row r="660" spans="1:2">
      <c r="A660" s="60"/>
      <c r="B660" s="60"/>
    </row>
    <row r="661" spans="1:2">
      <c r="A661" s="60"/>
      <c r="B661" s="60"/>
    </row>
    <row r="662" spans="1:2">
      <c r="A662" s="60"/>
      <c r="B662" s="60"/>
    </row>
    <row r="663" spans="1:2">
      <c r="A663" s="60"/>
      <c r="B663" s="60"/>
    </row>
    <row r="664" spans="1:2">
      <c r="A664" s="60"/>
      <c r="B664" s="60"/>
    </row>
    <row r="665" spans="1:2">
      <c r="A665" s="60"/>
      <c r="B665" s="60"/>
    </row>
    <row r="666" spans="1:2">
      <c r="A666" s="60"/>
      <c r="B666" s="60"/>
    </row>
    <row r="667" spans="1:2">
      <c r="A667" s="60"/>
      <c r="B667" s="60"/>
    </row>
    <row r="668" spans="1:2">
      <c r="A668" s="60"/>
      <c r="B668" s="60"/>
    </row>
    <row r="669" spans="1:2">
      <c r="A669" s="60"/>
      <c r="B669" s="60"/>
    </row>
    <row r="670" spans="1:2">
      <c r="A670" s="60"/>
      <c r="B670" s="60"/>
    </row>
    <row r="671" spans="1:2">
      <c r="A671" s="60"/>
      <c r="B671" s="60"/>
    </row>
    <row r="672" spans="1:2">
      <c r="A672" s="60"/>
      <c r="B672" s="60"/>
    </row>
    <row r="673" spans="1:2">
      <c r="A673" s="60"/>
      <c r="B673" s="60"/>
    </row>
    <row r="674" spans="1:2">
      <c r="A674" s="60"/>
      <c r="B674" s="60"/>
    </row>
    <row r="675" spans="1:2">
      <c r="A675" s="60"/>
      <c r="B675" s="60"/>
    </row>
    <row r="676" spans="1:2">
      <c r="A676" s="60"/>
      <c r="B676" s="60"/>
    </row>
    <row r="677" spans="1:2">
      <c r="A677" s="60"/>
      <c r="B677" s="60"/>
    </row>
    <row r="678" spans="1:2">
      <c r="A678" s="60"/>
      <c r="B678" s="60"/>
    </row>
    <row r="679" spans="1:2">
      <c r="A679" s="60"/>
      <c r="B679" s="60"/>
    </row>
    <row r="680" spans="1:2">
      <c r="A680" s="60"/>
      <c r="B680" s="60"/>
    </row>
    <row r="681" spans="1:2">
      <c r="A681" s="60"/>
      <c r="B681" s="60"/>
    </row>
    <row r="682" spans="1:2">
      <c r="A682" s="60"/>
      <c r="B682" s="60"/>
    </row>
    <row r="683" spans="1:2">
      <c r="A683" s="60"/>
      <c r="B683" s="60"/>
    </row>
    <row r="684" spans="1:2">
      <c r="A684" s="60"/>
      <c r="B684" s="60"/>
    </row>
    <row r="685" spans="1:2">
      <c r="A685" s="60"/>
      <c r="B685" s="60"/>
    </row>
    <row r="686" spans="1:2">
      <c r="A686" s="60"/>
      <c r="B686" s="60"/>
    </row>
    <row r="687" spans="1:2">
      <c r="A687" s="60"/>
      <c r="B687" s="60"/>
    </row>
    <row r="688" spans="1:2">
      <c r="A688" s="60"/>
      <c r="B688" s="60"/>
    </row>
    <row r="689" spans="1:2">
      <c r="A689" s="60"/>
      <c r="B689" s="60"/>
    </row>
    <row r="690" spans="1:2">
      <c r="A690" s="60"/>
      <c r="B690" s="60"/>
    </row>
    <row r="691" spans="1:2">
      <c r="A691" s="60"/>
      <c r="B691" s="60"/>
    </row>
    <row r="692" spans="1:2">
      <c r="A692" s="60"/>
      <c r="B692" s="60"/>
    </row>
    <row r="693" spans="1:2">
      <c r="A693" s="60"/>
      <c r="B693" s="60"/>
    </row>
    <row r="694" spans="1:2">
      <c r="A694" s="60"/>
      <c r="B694" s="60"/>
    </row>
    <row r="695" spans="1:2">
      <c r="A695" s="60"/>
      <c r="B695" s="60"/>
    </row>
    <row r="696" spans="1:2">
      <c r="A696" s="60"/>
      <c r="B696" s="60"/>
    </row>
    <row r="697" spans="1:2">
      <c r="A697" s="60"/>
      <c r="B697" s="60"/>
    </row>
    <row r="698" spans="1:2">
      <c r="A698" s="60"/>
      <c r="B698" s="60"/>
    </row>
  </sheetData>
  <mergeCells count="3">
    <mergeCell ref="A3:H3"/>
    <mergeCell ref="A12:B12"/>
    <mergeCell ref="D12:E12"/>
  </mergeCells>
  <pageMargins left="0.7" right="0.7" top="0.75" bottom="0.75" header="0.3" footer="0.3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u">
                <anchor moveWithCells="1" sizeWithCells="1">
                  <from>
                    <xdr:col>7</xdr:col>
                    <xdr:colOff>673100</xdr:colOff>
                    <xdr:row>5</xdr:row>
                    <xdr:rowOff>139700</xdr:rowOff>
                  </from>
                  <to>
                    <xdr:col>9</xdr:col>
                    <xdr:colOff>762000</xdr:colOff>
                    <xdr:row>7</xdr:row>
                    <xdr:rowOff>139700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 enableFormatConditionsCalculation="0"/>
  <dimension ref="A1"/>
  <sheetViews>
    <sheetView workbookViewId="0">
      <selection activeCell="H44" sqref="H44"/>
    </sheetView>
  </sheetViews>
  <sheetFormatPr baseColWidth="10" defaultRowHeight="14" x14ac:dyDescent="0"/>
  <sheetData/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MM1- Servidor Único</vt:lpstr>
      <vt:lpstr>MMN-Varios Servidores</vt:lpstr>
      <vt:lpstr>MMNm-Cola Capacidad Finita Uno</vt:lpstr>
      <vt:lpstr>MMNm-Cola Capacidad Finita</vt:lpstr>
      <vt:lpstr>MM..N-Poblacion Finita Uno</vt:lpstr>
      <vt:lpstr>MM..N-Poblacion Finita</vt:lpstr>
      <vt:lpstr>Hoja1</vt:lpstr>
    </vt:vector>
  </TitlesOfParts>
  <Company>UCAB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lab_a512</dc:creator>
  <cp:lastModifiedBy>Genesis Guillen</cp:lastModifiedBy>
  <dcterms:created xsi:type="dcterms:W3CDTF">2014-10-07T19:11:48Z</dcterms:created>
  <dcterms:modified xsi:type="dcterms:W3CDTF">2014-10-21T20:50:36Z</dcterms:modified>
</cp:coreProperties>
</file>